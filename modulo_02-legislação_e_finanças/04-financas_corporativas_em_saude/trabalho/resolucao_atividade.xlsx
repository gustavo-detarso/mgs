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me dos Participantes" sheetId="1" state="visible" r:id="rId3"/>
    <sheet name="Feriados" sheetId="2" state="visible" r:id="rId4"/>
    <sheet name="Equivalência de Capitais" sheetId="3" state="visible" r:id="rId5"/>
    <sheet name="Amortização de Dívidas" sheetId="4" state="visible" r:id="rId6"/>
    <sheet name="Avaliação de Projeto" sheetId="5" state="visible" r:id="rId7"/>
    <sheet name="Financiamento" sheetId="6" state="visible" r:id="rId8"/>
  </sheets>
  <definedNames>
    <definedName function="false" hidden="false" name="A" vbProcedure="false">Feriados!$A$2:$A$1265</definedName>
    <definedName function="false" hidden="false" name="F" vbProcedure="false">Feriados!$A$2:$A$1265</definedName>
    <definedName function="false" hidden="false" name="Feriados" vbProcedure="false">Feriados!$A$2:$A$1265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<sst xmlns="http://schemas.openxmlformats.org/spreadsheetml/2006/main" count="2658" uniqueCount="121">
  <si>
    <t xml:space="preserve">Data</t>
  </si>
  <si>
    <t xml:space="preserve">Dia da Semana</t>
  </si>
  <si>
    <t xml:space="preserve">Feriado</t>
  </si>
  <si>
    <t xml:space="preserve">segunda-feira</t>
  </si>
  <si>
    <t xml:space="preserve">Confraternização Universal</t>
  </si>
  <si>
    <t xml:space="preserve">Carnaval</t>
  </si>
  <si>
    <t xml:space="preserve">terça-feira</t>
  </si>
  <si>
    <t xml:space="preserve">sexta-feira</t>
  </si>
  <si>
    <t xml:space="preserve">Paixão de Cristo</t>
  </si>
  <si>
    <t xml:space="preserve">sábado</t>
  </si>
  <si>
    <t xml:space="preserve">Tiradentes</t>
  </si>
  <si>
    <t xml:space="preserve">Dia do Trabalho</t>
  </si>
  <si>
    <t xml:space="preserve">quinta-feira</t>
  </si>
  <si>
    <t xml:space="preserve">Corpus Christi</t>
  </si>
  <si>
    <t xml:space="preserve">Independência do Brasil</t>
  </si>
  <si>
    <t xml:space="preserve">Nossa Sr.a Aparecida - Padroeira do Brasil</t>
  </si>
  <si>
    <t xml:space="preserve">Finados</t>
  </si>
  <si>
    <t xml:space="preserve">Proclamação da República</t>
  </si>
  <si>
    <t xml:space="preserve">Natal</t>
  </si>
  <si>
    <t xml:space="preserve">domingo</t>
  </si>
  <si>
    <t xml:space="preserve">quarta-feira</t>
  </si>
  <si>
    <t xml:space="preserve">Dia Nacional de Zumbi e da Consciência Negra</t>
  </si>
  <si>
    <t xml:space="preserve">Confraternização Universal </t>
  </si>
  <si>
    <t xml:space="preserve">Fonte: ANBIMA</t>
  </si>
  <si>
    <t xml:space="preserve"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</si>
  <si>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 xml:space="preserve">2) A lei nº 9.504/97 estabeleceu que, em ano eleitoral, o 1º turno das eleições será realizado no primeiro domingo de outubro; e o 2º turno, quando houver, no último domingo do referido mês.</t>
  </si>
  <si>
    <t xml:space="preserve">3) De acordo com a Resolução nº 2.596/99, no último dia útil do ano não haverá atendimento ao público.</t>
  </si>
  <si>
    <t xml:space="preserve">4) Esta listagem não inclui os feriados municipais, eleições e o último dia do ano. O critério adotado foi o de indicar os feriados em que não há sensibilização das Reservas Bancárias.</t>
  </si>
  <si>
    <t xml:space="preserve">TAXA DE JUROS</t>
  </si>
  <si>
    <t xml:space="preserve">Parcela igual</t>
  </si>
  <si>
    <t xml:space="preserve">DATA BASE</t>
  </si>
  <si>
    <t xml:space="preserve">VALOR ATUALIZADO</t>
  </si>
  <si>
    <t xml:space="preserve">PLANO ORIGINAL</t>
  </si>
  <si>
    <t xml:space="preserve">PLANO ALTERNATIVO</t>
  </si>
  <si>
    <t xml:space="preserve">Vencimento</t>
  </si>
  <si>
    <t xml:space="preserve">Obrigações</t>
  </si>
  <si>
    <t xml:space="preserve">Var Dias</t>
  </si>
  <si>
    <t xml:space="preserve">Valor Atualizado</t>
  </si>
  <si>
    <t xml:space="preserve">TABELA PRICE</t>
  </si>
  <si>
    <t xml:space="preserve">SISTEMA DE AMORTIZAÇÃO CONSTANTE - SAC</t>
  </si>
  <si>
    <t xml:space="preserve">Data de Liquidação</t>
  </si>
  <si>
    <t xml:space="preserve">Número de Parcelas</t>
  </si>
  <si>
    <t xml:space="preserve">Valor Empréstimo</t>
  </si>
  <si>
    <t xml:space="preserve">Taxa de Juro</t>
  </si>
  <si>
    <t xml:space="preserve">Prestação</t>
  </si>
  <si>
    <t xml:space="preserve">Juros</t>
  </si>
  <si>
    <t xml:space="preserve">Amortização</t>
  </si>
  <si>
    <t xml:space="preserve">Saldo Devedor</t>
  </si>
  <si>
    <t xml:space="preserve">Total de Juros</t>
  </si>
  <si>
    <t xml:space="preserve">Avaliação de Projeto de Investimento</t>
  </si>
  <si>
    <t xml:space="preserve">Premissas auxiliares</t>
  </si>
  <si>
    <t xml:space="preserve">Receita base Ano 1</t>
  </si>
  <si>
    <t xml:space="preserve">Alíquota Média ICMS</t>
  </si>
  <si>
    <t xml:space="preserve">g1</t>
  </si>
  <si>
    <t xml:space="preserve">c1</t>
  </si>
  <si>
    <t xml:space="preserve">CMV base Ano 1</t>
  </si>
  <si>
    <t xml:space="preserve">Alíquota PIS</t>
  </si>
  <si>
    <t xml:space="preserve">g2</t>
  </si>
  <si>
    <t xml:space="preserve">c2</t>
  </si>
  <si>
    <t xml:space="preserve">Salários base Ano 1</t>
  </si>
  <si>
    <t xml:space="preserve">Alíquota COFINS</t>
  </si>
  <si>
    <t xml:space="preserve">g3</t>
  </si>
  <si>
    <t xml:space="preserve">c3</t>
  </si>
  <si>
    <t xml:space="preserve">Reajuste salarial</t>
  </si>
  <si>
    <t xml:space="preserve">Serviços Gerais e Adminstração</t>
  </si>
  <si>
    <t xml:space="preserve">CM</t>
  </si>
  <si>
    <t xml:space="preserve">Vida útil imóvel (anos)</t>
  </si>
  <si>
    <t xml:space="preserve">Aluguéis e Condomínios</t>
  </si>
  <si>
    <t xml:space="preserve">TMA</t>
  </si>
  <si>
    <t xml:space="preserve">Depreciação anual</t>
  </si>
  <si>
    <t xml:space="preserve">Propaganda e Publicidade</t>
  </si>
  <si>
    <t xml:space="preserve">Premissa: imóvel depreciado em 25 anos (4% a.a.)</t>
  </si>
  <si>
    <t xml:space="preserve">Despesas Comerciais e Comissões</t>
  </si>
  <si>
    <t xml:space="preserve">Valor do Imóvel</t>
  </si>
  <si>
    <t xml:space="preserve">Imposto de Renda e CSSL</t>
  </si>
  <si>
    <t xml:space="preserve">Investimento</t>
  </si>
  <si>
    <t xml:space="preserve">Ano 1</t>
  </si>
  <si>
    <t xml:space="preserve">Ano 2</t>
  </si>
  <si>
    <t xml:space="preserve">Ano 3</t>
  </si>
  <si>
    <t xml:space="preserve">Ano 4</t>
  </si>
  <si>
    <t xml:space="preserve">Ano 5</t>
  </si>
  <si>
    <t xml:space="preserve">Ano 6</t>
  </si>
  <si>
    <t xml:space="preserve">Ano 7</t>
  </si>
  <si>
    <t xml:space="preserve">Ano 8</t>
  </si>
  <si>
    <t xml:space="preserve">Ano 9</t>
  </si>
  <si>
    <t xml:space="preserve">Ano 10</t>
  </si>
  <si>
    <t xml:space="preserve">1. Receita de Vendas</t>
  </si>
  <si>
    <t xml:space="preserve">2. Impostos sobre Vendas</t>
  </si>
  <si>
    <t xml:space="preserve">2.1. ICMS</t>
  </si>
  <si>
    <t xml:space="preserve">2.2. PIS</t>
  </si>
  <si>
    <t xml:space="preserve">2.3. COFINS</t>
  </si>
  <si>
    <t xml:space="preserve">3. Receita Líquida</t>
  </si>
  <si>
    <t xml:space="preserve">4. Custo de Mercadoria Vendida</t>
  </si>
  <si>
    <t xml:space="preserve">5. Despesas Operacionais</t>
  </si>
  <si>
    <t xml:space="preserve">5.1. Despesas com Salários e Encargos</t>
  </si>
  <si>
    <t xml:space="preserve">5.2. Serviços Gerais e Administração</t>
  </si>
  <si>
    <t xml:space="preserve">5.3. Despesas de Aluguéis e Condomínios</t>
  </si>
  <si>
    <t xml:space="preserve">5.4. Despesas de Propaganda e Publicidade</t>
  </si>
  <si>
    <t xml:space="preserve">5.5. Despesas Comerciais e Comissões</t>
  </si>
  <si>
    <t xml:space="preserve">6. EBITDA</t>
  </si>
  <si>
    <t xml:space="preserve">7. Margem EBITDA</t>
  </si>
  <si>
    <t xml:space="preserve">8. Depreciação e Amortização</t>
  </si>
  <si>
    <t xml:space="preserve">9. Despesas Financeiras</t>
  </si>
  <si>
    <t xml:space="preserve">10. Lucro antes do IR</t>
  </si>
  <si>
    <t xml:space="preserve">11. IR e CSSL</t>
  </si>
  <si>
    <t xml:space="preserve">12. Fluxo de Caixa</t>
  </si>
  <si>
    <t xml:space="preserve">Fluxo Descontado</t>
  </si>
  <si>
    <t xml:space="preserve">Fluxo Descontado Acumulado</t>
  </si>
  <si>
    <t xml:space="preserve">Taxa Mínima de Atratividade - TMA</t>
  </si>
  <si>
    <t xml:space="preserve">Taxa Interna de Retorno - TIR</t>
  </si>
  <si>
    <t xml:space="preserve">Valor Presente Líquido - VPL</t>
  </si>
  <si>
    <t xml:space="preserve">Payback Descontado - PBD</t>
  </si>
  <si>
    <t xml:space="preserve">Valor Presente - VP</t>
  </si>
  <si>
    <t xml:space="preserve">PV</t>
  </si>
  <si>
    <t xml:space="preserve">TAXA</t>
  </si>
  <si>
    <t xml:space="preserve">NPER</t>
  </si>
  <si>
    <t xml:space="preserve">PERÍODO</t>
  </si>
  <si>
    <t xml:space="preserve">PRESTAÇÃO</t>
  </si>
  <si>
    <t xml:space="preserve">JUROS</t>
  </si>
  <si>
    <t xml:space="preserve">AMORTIZAÇÃO</t>
  </si>
  <si>
    <t xml:space="preserve">SALDO DEVEDOR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</si>
</sst>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/yyyy"/>
    <numFmt numFmtId="166" formatCode="#,##0.00_ ;[RED]\-#,##0.00\ "/>
    <numFmt numFmtId="167" formatCode="0.00%"/>
    <numFmt numFmtId="168" formatCode="dd/mm/yyyy"/>
    <numFmt numFmtId="169" formatCode="#,##0.00"/>
    <numFmt numFmtId="170" formatCode="0.000000"/>
    <numFmt numFmtId="171" formatCode="#,##0_ ;[RED]\-#,##0\ "/>
    <numFmt numFmtId="172" formatCode="#,##0"/>
    <numFmt numFmtId="173" formatCode="_-* #,##0.00_-;\-* #,##0.00_-;_-* \-??_-;_-@_-"/>
    <numFmt numFmtId="174" formatCode="&quot;R$ &quot;#,##0.00;[RED]&quot;-R$ &quot;#,##0.00"/>
    <numFmt numFmtId="175" formatCode="0.00"/>
  </numFmts>
  <fonts count="9">
    <font>
      <sz val="11"/>
      <color theme="1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2"/>
    </font>
    <font>
      <sz val="9"/>
      <color theme="1"/>
      <name val="Arial"/>
      <family val="2"/>
    </font>
    <font>
      <b val="true"/>
      <sz val="11"/>
      <color theme="1"/>
      <name val="Aptos Narrow"/>
      <family val="2"/>
    </font>
    <font>
      <b val="true"/>
      <sz val="11"/>
      <color theme="1"/>
      <name val="Cambria"/>
      <family val="0"/>
    </font>
    <font>
      <b val="true"/>
      <sz val="12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A6CAEC"/>
      </patternFill>
    </fill>
    <fill>
      <patternFill patternType="solid">
        <fgColor theme="9" tint="0.7999"/>
        <bgColor rgb="FFDCEAF7"/>
      </patternFill>
    </fill>
    <fill>
      <patternFill patternType="solid">
        <fgColor theme="4" tint="0.7999"/>
        <bgColor rgb="FFDCEAF7"/>
      </patternFill>
    </fill>
    <fill>
      <patternFill patternType="solid">
        <fgColor rgb="FFFFFF00"/>
        <bgColor rgb="FFFFFF00"/>
      </patternFill>
    </fill>
    <fill>
      <patternFill patternType="solid">
        <fgColor theme="3" tint="0.7499"/>
        <bgColor rgb="FFC0C0C0"/>
      </patternFill>
    </fill>
    <fill>
      <patternFill patternType="solid">
        <fgColor theme="3" tint="0.8999"/>
        <bgColor rgb="FFD9F2D0"/>
      </patternFill>
    </fill>
    <fill>
      <patternFill patternType="solid">
        <fgColor rgb="FF00B0F0"/>
        <bgColor rgb="FF33CC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 diagonalUp="false" diagonalDown="false">
      <left/>
      <right style="medium">
        <color rgb="FF969696"/>
      </right>
      <top style="medium">
        <color rgb="FF808080"/>
      </top>
      <bottom style="medium">
        <color rgb="FF808080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5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5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8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5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7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5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5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4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F2D0"/>
      <rgbColor rgb="FFFFFF99"/>
      <rgbColor rgb="FFA6CAE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1" width="11.28"/>
    <col collapsed="false" customWidth="true" hidden="false" outlineLevel="0" max="2" min="2" style="2" width="18"/>
    <col collapsed="false" customWidth="true" hidden="false" outlineLevel="0" max="3" min="3" style="2" width="45.3"/>
    <col collapsed="false" customWidth="true" hidden="false" outlineLevel="0" max="7" min="7" style="2" width="13.3"/>
    <col collapsed="false" customWidth="true" hidden="false" outlineLevel="0" max="9" min="9" style="2" width="15"/>
    <col collapsed="false" customWidth="true" hidden="false" outlineLevel="0" max="11" min="11" style="2" width="10.14"/>
    <col collapsed="false" customWidth="true" hidden="false" outlineLevel="0" max="257" min="257" style="2" width="11.28"/>
    <col collapsed="false" customWidth="true" hidden="false" outlineLevel="0" max="258" min="258" style="2" width="18"/>
    <col collapsed="false" customWidth="true" hidden="false" outlineLevel="0" max="259" min="259" style="2" width="45.3"/>
    <col collapsed="false" customWidth="true" hidden="false" outlineLevel="0" max="263" min="263" style="2" width="13.3"/>
    <col collapsed="false" customWidth="true" hidden="false" outlineLevel="0" max="265" min="265" style="2" width="15"/>
    <col collapsed="false" customWidth="true" hidden="false" outlineLevel="0" max="267" min="267" style="2" width="10.14"/>
    <col collapsed="false" customWidth="true" hidden="false" outlineLevel="0" max="513" min="513" style="2" width="11.28"/>
    <col collapsed="false" customWidth="true" hidden="false" outlineLevel="0" max="514" min="514" style="2" width="18"/>
    <col collapsed="false" customWidth="true" hidden="false" outlineLevel="0" max="515" min="515" style="2" width="45.3"/>
    <col collapsed="false" customWidth="true" hidden="false" outlineLevel="0" max="519" min="519" style="2" width="13.3"/>
    <col collapsed="false" customWidth="true" hidden="false" outlineLevel="0" max="521" min="521" style="2" width="15"/>
    <col collapsed="false" customWidth="true" hidden="false" outlineLevel="0" max="523" min="523" style="2" width="10.14"/>
    <col collapsed="false" customWidth="true" hidden="false" outlineLevel="0" max="769" min="769" style="2" width="11.28"/>
    <col collapsed="false" customWidth="true" hidden="false" outlineLevel="0" max="770" min="770" style="2" width="18"/>
    <col collapsed="false" customWidth="true" hidden="false" outlineLevel="0" max="771" min="771" style="2" width="45.3"/>
    <col collapsed="false" customWidth="true" hidden="false" outlineLevel="0" max="775" min="775" style="2" width="13.3"/>
    <col collapsed="false" customWidth="true" hidden="false" outlineLevel="0" max="777" min="777" style="2" width="15"/>
    <col collapsed="false" customWidth="true" hidden="false" outlineLevel="0" max="779" min="779" style="2" width="10.14"/>
    <col collapsed="false" customWidth="true" hidden="false" outlineLevel="0" max="1025" min="1025" style="2" width="11.28"/>
    <col collapsed="false" customWidth="true" hidden="false" outlineLevel="0" max="1026" min="1026" style="2" width="18"/>
    <col collapsed="false" customWidth="true" hidden="false" outlineLevel="0" max="1027" min="1027" style="2" width="45.3"/>
    <col collapsed="false" customWidth="true" hidden="false" outlineLevel="0" max="1031" min="1031" style="2" width="13.3"/>
    <col collapsed="false" customWidth="true" hidden="false" outlineLevel="0" max="1033" min="1033" style="2" width="15"/>
    <col collapsed="false" customWidth="true" hidden="false" outlineLevel="0" max="1035" min="1035" style="2" width="10.14"/>
    <col collapsed="false" customWidth="true" hidden="false" outlineLevel="0" max="1281" min="1281" style="2" width="11.28"/>
    <col collapsed="false" customWidth="true" hidden="false" outlineLevel="0" max="1282" min="1282" style="2" width="18"/>
    <col collapsed="false" customWidth="true" hidden="false" outlineLevel="0" max="1283" min="1283" style="2" width="45.3"/>
    <col collapsed="false" customWidth="true" hidden="false" outlineLevel="0" max="1287" min="1287" style="2" width="13.3"/>
    <col collapsed="false" customWidth="true" hidden="false" outlineLevel="0" max="1289" min="1289" style="2" width="15"/>
    <col collapsed="false" customWidth="true" hidden="false" outlineLevel="0" max="1291" min="1291" style="2" width="10.14"/>
    <col collapsed="false" customWidth="true" hidden="false" outlineLevel="0" max="1537" min="1537" style="2" width="11.28"/>
    <col collapsed="false" customWidth="true" hidden="false" outlineLevel="0" max="1538" min="1538" style="2" width="18"/>
    <col collapsed="false" customWidth="true" hidden="false" outlineLevel="0" max="1539" min="1539" style="2" width="45.3"/>
    <col collapsed="false" customWidth="true" hidden="false" outlineLevel="0" max="1543" min="1543" style="2" width="13.3"/>
    <col collapsed="false" customWidth="true" hidden="false" outlineLevel="0" max="1545" min="1545" style="2" width="15"/>
    <col collapsed="false" customWidth="true" hidden="false" outlineLevel="0" max="1547" min="1547" style="2" width="10.14"/>
    <col collapsed="false" customWidth="true" hidden="false" outlineLevel="0" max="1793" min="1793" style="2" width="11.28"/>
    <col collapsed="false" customWidth="true" hidden="false" outlineLevel="0" max="1794" min="1794" style="2" width="18"/>
    <col collapsed="false" customWidth="true" hidden="false" outlineLevel="0" max="1795" min="1795" style="2" width="45.3"/>
    <col collapsed="false" customWidth="true" hidden="false" outlineLevel="0" max="1799" min="1799" style="2" width="13.3"/>
    <col collapsed="false" customWidth="true" hidden="false" outlineLevel="0" max="1801" min="1801" style="2" width="15"/>
    <col collapsed="false" customWidth="true" hidden="false" outlineLevel="0" max="1803" min="1803" style="2" width="10.14"/>
    <col collapsed="false" customWidth="true" hidden="false" outlineLevel="0" max="2049" min="2049" style="2" width="11.28"/>
    <col collapsed="false" customWidth="true" hidden="false" outlineLevel="0" max="2050" min="2050" style="2" width="18"/>
    <col collapsed="false" customWidth="true" hidden="false" outlineLevel="0" max="2051" min="2051" style="2" width="45.3"/>
    <col collapsed="false" customWidth="true" hidden="false" outlineLevel="0" max="2055" min="2055" style="2" width="13.3"/>
    <col collapsed="false" customWidth="true" hidden="false" outlineLevel="0" max="2057" min="2057" style="2" width="15"/>
    <col collapsed="false" customWidth="true" hidden="false" outlineLevel="0" max="2059" min="2059" style="2" width="10.14"/>
    <col collapsed="false" customWidth="true" hidden="false" outlineLevel="0" max="2305" min="2305" style="2" width="11.28"/>
    <col collapsed="false" customWidth="true" hidden="false" outlineLevel="0" max="2306" min="2306" style="2" width="18"/>
    <col collapsed="false" customWidth="true" hidden="false" outlineLevel="0" max="2307" min="2307" style="2" width="45.3"/>
    <col collapsed="false" customWidth="true" hidden="false" outlineLevel="0" max="2311" min="2311" style="2" width="13.3"/>
    <col collapsed="false" customWidth="true" hidden="false" outlineLevel="0" max="2313" min="2313" style="2" width="15"/>
    <col collapsed="false" customWidth="true" hidden="false" outlineLevel="0" max="2315" min="2315" style="2" width="10.14"/>
    <col collapsed="false" customWidth="true" hidden="false" outlineLevel="0" max="2561" min="2561" style="2" width="11.28"/>
    <col collapsed="false" customWidth="true" hidden="false" outlineLevel="0" max="2562" min="2562" style="2" width="18"/>
    <col collapsed="false" customWidth="true" hidden="false" outlineLevel="0" max="2563" min="2563" style="2" width="45.3"/>
    <col collapsed="false" customWidth="true" hidden="false" outlineLevel="0" max="2567" min="2567" style="2" width="13.3"/>
    <col collapsed="false" customWidth="true" hidden="false" outlineLevel="0" max="2569" min="2569" style="2" width="15"/>
    <col collapsed="false" customWidth="true" hidden="false" outlineLevel="0" max="2571" min="2571" style="2" width="10.14"/>
    <col collapsed="false" customWidth="true" hidden="false" outlineLevel="0" max="2817" min="2817" style="2" width="11.28"/>
    <col collapsed="false" customWidth="true" hidden="false" outlineLevel="0" max="2818" min="2818" style="2" width="18"/>
    <col collapsed="false" customWidth="true" hidden="false" outlineLevel="0" max="2819" min="2819" style="2" width="45.3"/>
    <col collapsed="false" customWidth="true" hidden="false" outlineLevel="0" max="2823" min="2823" style="2" width="13.3"/>
    <col collapsed="false" customWidth="true" hidden="false" outlineLevel="0" max="2825" min="2825" style="2" width="15"/>
    <col collapsed="false" customWidth="true" hidden="false" outlineLevel="0" max="2827" min="2827" style="2" width="10.14"/>
    <col collapsed="false" customWidth="true" hidden="false" outlineLevel="0" max="3073" min="3073" style="2" width="11.28"/>
    <col collapsed="false" customWidth="true" hidden="false" outlineLevel="0" max="3074" min="3074" style="2" width="18"/>
    <col collapsed="false" customWidth="true" hidden="false" outlineLevel="0" max="3075" min="3075" style="2" width="45.3"/>
    <col collapsed="false" customWidth="true" hidden="false" outlineLevel="0" max="3079" min="3079" style="2" width="13.3"/>
    <col collapsed="false" customWidth="true" hidden="false" outlineLevel="0" max="3081" min="3081" style="2" width="15"/>
    <col collapsed="false" customWidth="true" hidden="false" outlineLevel="0" max="3083" min="3083" style="2" width="10.14"/>
    <col collapsed="false" customWidth="true" hidden="false" outlineLevel="0" max="3329" min="3329" style="2" width="11.28"/>
    <col collapsed="false" customWidth="true" hidden="false" outlineLevel="0" max="3330" min="3330" style="2" width="18"/>
    <col collapsed="false" customWidth="true" hidden="false" outlineLevel="0" max="3331" min="3331" style="2" width="45.3"/>
    <col collapsed="false" customWidth="true" hidden="false" outlineLevel="0" max="3335" min="3335" style="2" width="13.3"/>
    <col collapsed="false" customWidth="true" hidden="false" outlineLevel="0" max="3337" min="3337" style="2" width="15"/>
    <col collapsed="false" customWidth="true" hidden="false" outlineLevel="0" max="3339" min="3339" style="2" width="10.14"/>
    <col collapsed="false" customWidth="true" hidden="false" outlineLevel="0" max="3585" min="3585" style="2" width="11.28"/>
    <col collapsed="false" customWidth="true" hidden="false" outlineLevel="0" max="3586" min="3586" style="2" width="18"/>
    <col collapsed="false" customWidth="true" hidden="false" outlineLevel="0" max="3587" min="3587" style="2" width="45.3"/>
    <col collapsed="false" customWidth="true" hidden="false" outlineLevel="0" max="3591" min="3591" style="2" width="13.3"/>
    <col collapsed="false" customWidth="true" hidden="false" outlineLevel="0" max="3593" min="3593" style="2" width="15"/>
    <col collapsed="false" customWidth="true" hidden="false" outlineLevel="0" max="3595" min="3595" style="2" width="10.14"/>
    <col collapsed="false" customWidth="true" hidden="false" outlineLevel="0" max="3841" min="3841" style="2" width="11.28"/>
    <col collapsed="false" customWidth="true" hidden="false" outlineLevel="0" max="3842" min="3842" style="2" width="18"/>
    <col collapsed="false" customWidth="true" hidden="false" outlineLevel="0" max="3843" min="3843" style="2" width="45.3"/>
    <col collapsed="false" customWidth="true" hidden="false" outlineLevel="0" max="3847" min="3847" style="2" width="13.3"/>
    <col collapsed="false" customWidth="true" hidden="false" outlineLevel="0" max="3849" min="3849" style="2" width="15"/>
    <col collapsed="false" customWidth="true" hidden="false" outlineLevel="0" max="3851" min="3851" style="2" width="10.14"/>
    <col collapsed="false" customWidth="true" hidden="false" outlineLevel="0" max="4097" min="4097" style="2" width="11.28"/>
    <col collapsed="false" customWidth="true" hidden="false" outlineLevel="0" max="4098" min="4098" style="2" width="18"/>
    <col collapsed="false" customWidth="true" hidden="false" outlineLevel="0" max="4099" min="4099" style="2" width="45.3"/>
    <col collapsed="false" customWidth="true" hidden="false" outlineLevel="0" max="4103" min="4103" style="2" width="13.3"/>
    <col collapsed="false" customWidth="true" hidden="false" outlineLevel="0" max="4105" min="4105" style="2" width="15"/>
    <col collapsed="false" customWidth="true" hidden="false" outlineLevel="0" max="4107" min="4107" style="2" width="10.14"/>
    <col collapsed="false" customWidth="true" hidden="false" outlineLevel="0" max="4353" min="4353" style="2" width="11.28"/>
    <col collapsed="false" customWidth="true" hidden="false" outlineLevel="0" max="4354" min="4354" style="2" width="18"/>
    <col collapsed="false" customWidth="true" hidden="false" outlineLevel="0" max="4355" min="4355" style="2" width="45.3"/>
    <col collapsed="false" customWidth="true" hidden="false" outlineLevel="0" max="4359" min="4359" style="2" width="13.3"/>
    <col collapsed="false" customWidth="true" hidden="false" outlineLevel="0" max="4361" min="4361" style="2" width="15"/>
    <col collapsed="false" customWidth="true" hidden="false" outlineLevel="0" max="4363" min="4363" style="2" width="10.14"/>
    <col collapsed="false" customWidth="true" hidden="false" outlineLevel="0" max="4609" min="4609" style="2" width="11.28"/>
    <col collapsed="false" customWidth="true" hidden="false" outlineLevel="0" max="4610" min="4610" style="2" width="18"/>
    <col collapsed="false" customWidth="true" hidden="false" outlineLevel="0" max="4611" min="4611" style="2" width="45.3"/>
    <col collapsed="false" customWidth="true" hidden="false" outlineLevel="0" max="4615" min="4615" style="2" width="13.3"/>
    <col collapsed="false" customWidth="true" hidden="false" outlineLevel="0" max="4617" min="4617" style="2" width="15"/>
    <col collapsed="false" customWidth="true" hidden="false" outlineLevel="0" max="4619" min="4619" style="2" width="10.14"/>
    <col collapsed="false" customWidth="true" hidden="false" outlineLevel="0" max="4865" min="4865" style="2" width="11.28"/>
    <col collapsed="false" customWidth="true" hidden="false" outlineLevel="0" max="4866" min="4866" style="2" width="18"/>
    <col collapsed="false" customWidth="true" hidden="false" outlineLevel="0" max="4867" min="4867" style="2" width="45.3"/>
    <col collapsed="false" customWidth="true" hidden="false" outlineLevel="0" max="4871" min="4871" style="2" width="13.3"/>
    <col collapsed="false" customWidth="true" hidden="false" outlineLevel="0" max="4873" min="4873" style="2" width="15"/>
    <col collapsed="false" customWidth="true" hidden="false" outlineLevel="0" max="4875" min="4875" style="2" width="10.14"/>
    <col collapsed="false" customWidth="true" hidden="false" outlineLevel="0" max="5121" min="5121" style="2" width="11.28"/>
    <col collapsed="false" customWidth="true" hidden="false" outlineLevel="0" max="5122" min="5122" style="2" width="18"/>
    <col collapsed="false" customWidth="true" hidden="false" outlineLevel="0" max="5123" min="5123" style="2" width="45.3"/>
    <col collapsed="false" customWidth="true" hidden="false" outlineLevel="0" max="5127" min="5127" style="2" width="13.3"/>
    <col collapsed="false" customWidth="true" hidden="false" outlineLevel="0" max="5129" min="5129" style="2" width="15"/>
    <col collapsed="false" customWidth="true" hidden="false" outlineLevel="0" max="5131" min="5131" style="2" width="10.14"/>
    <col collapsed="false" customWidth="true" hidden="false" outlineLevel="0" max="5377" min="5377" style="2" width="11.28"/>
    <col collapsed="false" customWidth="true" hidden="false" outlineLevel="0" max="5378" min="5378" style="2" width="18"/>
    <col collapsed="false" customWidth="true" hidden="false" outlineLevel="0" max="5379" min="5379" style="2" width="45.3"/>
    <col collapsed="false" customWidth="true" hidden="false" outlineLevel="0" max="5383" min="5383" style="2" width="13.3"/>
    <col collapsed="false" customWidth="true" hidden="false" outlineLevel="0" max="5385" min="5385" style="2" width="15"/>
    <col collapsed="false" customWidth="true" hidden="false" outlineLevel="0" max="5387" min="5387" style="2" width="10.14"/>
    <col collapsed="false" customWidth="true" hidden="false" outlineLevel="0" max="5633" min="5633" style="2" width="11.28"/>
    <col collapsed="false" customWidth="true" hidden="false" outlineLevel="0" max="5634" min="5634" style="2" width="18"/>
    <col collapsed="false" customWidth="true" hidden="false" outlineLevel="0" max="5635" min="5635" style="2" width="45.3"/>
    <col collapsed="false" customWidth="true" hidden="false" outlineLevel="0" max="5639" min="5639" style="2" width="13.3"/>
    <col collapsed="false" customWidth="true" hidden="false" outlineLevel="0" max="5641" min="5641" style="2" width="15"/>
    <col collapsed="false" customWidth="true" hidden="false" outlineLevel="0" max="5643" min="5643" style="2" width="10.14"/>
    <col collapsed="false" customWidth="true" hidden="false" outlineLevel="0" max="5889" min="5889" style="2" width="11.28"/>
    <col collapsed="false" customWidth="true" hidden="false" outlineLevel="0" max="5890" min="5890" style="2" width="18"/>
    <col collapsed="false" customWidth="true" hidden="false" outlineLevel="0" max="5891" min="5891" style="2" width="45.3"/>
    <col collapsed="false" customWidth="true" hidden="false" outlineLevel="0" max="5895" min="5895" style="2" width="13.3"/>
    <col collapsed="false" customWidth="true" hidden="false" outlineLevel="0" max="5897" min="5897" style="2" width="15"/>
    <col collapsed="false" customWidth="true" hidden="false" outlineLevel="0" max="5899" min="5899" style="2" width="10.14"/>
    <col collapsed="false" customWidth="true" hidden="false" outlineLevel="0" max="6145" min="6145" style="2" width="11.28"/>
    <col collapsed="false" customWidth="true" hidden="false" outlineLevel="0" max="6146" min="6146" style="2" width="18"/>
    <col collapsed="false" customWidth="true" hidden="false" outlineLevel="0" max="6147" min="6147" style="2" width="45.3"/>
    <col collapsed="false" customWidth="true" hidden="false" outlineLevel="0" max="6151" min="6151" style="2" width="13.3"/>
    <col collapsed="false" customWidth="true" hidden="false" outlineLevel="0" max="6153" min="6153" style="2" width="15"/>
    <col collapsed="false" customWidth="true" hidden="false" outlineLevel="0" max="6155" min="6155" style="2" width="10.14"/>
    <col collapsed="false" customWidth="true" hidden="false" outlineLevel="0" max="6401" min="6401" style="2" width="11.28"/>
    <col collapsed="false" customWidth="true" hidden="false" outlineLevel="0" max="6402" min="6402" style="2" width="18"/>
    <col collapsed="false" customWidth="true" hidden="false" outlineLevel="0" max="6403" min="6403" style="2" width="45.3"/>
    <col collapsed="false" customWidth="true" hidden="false" outlineLevel="0" max="6407" min="6407" style="2" width="13.3"/>
    <col collapsed="false" customWidth="true" hidden="false" outlineLevel="0" max="6409" min="6409" style="2" width="15"/>
    <col collapsed="false" customWidth="true" hidden="false" outlineLevel="0" max="6411" min="6411" style="2" width="10.14"/>
    <col collapsed="false" customWidth="true" hidden="false" outlineLevel="0" max="6657" min="6657" style="2" width="11.28"/>
    <col collapsed="false" customWidth="true" hidden="false" outlineLevel="0" max="6658" min="6658" style="2" width="18"/>
    <col collapsed="false" customWidth="true" hidden="false" outlineLevel="0" max="6659" min="6659" style="2" width="45.3"/>
    <col collapsed="false" customWidth="true" hidden="false" outlineLevel="0" max="6663" min="6663" style="2" width="13.3"/>
    <col collapsed="false" customWidth="true" hidden="false" outlineLevel="0" max="6665" min="6665" style="2" width="15"/>
    <col collapsed="false" customWidth="true" hidden="false" outlineLevel="0" max="6667" min="6667" style="2" width="10.14"/>
    <col collapsed="false" customWidth="true" hidden="false" outlineLevel="0" max="6913" min="6913" style="2" width="11.28"/>
    <col collapsed="false" customWidth="true" hidden="false" outlineLevel="0" max="6914" min="6914" style="2" width="18"/>
    <col collapsed="false" customWidth="true" hidden="false" outlineLevel="0" max="6915" min="6915" style="2" width="45.3"/>
    <col collapsed="false" customWidth="true" hidden="false" outlineLevel="0" max="6919" min="6919" style="2" width="13.3"/>
    <col collapsed="false" customWidth="true" hidden="false" outlineLevel="0" max="6921" min="6921" style="2" width="15"/>
    <col collapsed="false" customWidth="true" hidden="false" outlineLevel="0" max="6923" min="6923" style="2" width="10.14"/>
    <col collapsed="false" customWidth="true" hidden="false" outlineLevel="0" max="7169" min="7169" style="2" width="11.28"/>
    <col collapsed="false" customWidth="true" hidden="false" outlineLevel="0" max="7170" min="7170" style="2" width="18"/>
    <col collapsed="false" customWidth="true" hidden="false" outlineLevel="0" max="7171" min="7171" style="2" width="45.3"/>
    <col collapsed="false" customWidth="true" hidden="false" outlineLevel="0" max="7175" min="7175" style="2" width="13.3"/>
    <col collapsed="false" customWidth="true" hidden="false" outlineLevel="0" max="7177" min="7177" style="2" width="15"/>
    <col collapsed="false" customWidth="true" hidden="false" outlineLevel="0" max="7179" min="7179" style="2" width="10.14"/>
    <col collapsed="false" customWidth="true" hidden="false" outlineLevel="0" max="7425" min="7425" style="2" width="11.28"/>
    <col collapsed="false" customWidth="true" hidden="false" outlineLevel="0" max="7426" min="7426" style="2" width="18"/>
    <col collapsed="false" customWidth="true" hidden="false" outlineLevel="0" max="7427" min="7427" style="2" width="45.3"/>
    <col collapsed="false" customWidth="true" hidden="false" outlineLevel="0" max="7431" min="7431" style="2" width="13.3"/>
    <col collapsed="false" customWidth="true" hidden="false" outlineLevel="0" max="7433" min="7433" style="2" width="15"/>
    <col collapsed="false" customWidth="true" hidden="false" outlineLevel="0" max="7435" min="7435" style="2" width="10.14"/>
    <col collapsed="false" customWidth="true" hidden="false" outlineLevel="0" max="7681" min="7681" style="2" width="11.28"/>
    <col collapsed="false" customWidth="true" hidden="false" outlineLevel="0" max="7682" min="7682" style="2" width="18"/>
    <col collapsed="false" customWidth="true" hidden="false" outlineLevel="0" max="7683" min="7683" style="2" width="45.3"/>
    <col collapsed="false" customWidth="true" hidden="false" outlineLevel="0" max="7687" min="7687" style="2" width="13.3"/>
    <col collapsed="false" customWidth="true" hidden="false" outlineLevel="0" max="7689" min="7689" style="2" width="15"/>
    <col collapsed="false" customWidth="true" hidden="false" outlineLevel="0" max="7691" min="7691" style="2" width="10.14"/>
    <col collapsed="false" customWidth="true" hidden="false" outlineLevel="0" max="7937" min="7937" style="2" width="11.28"/>
    <col collapsed="false" customWidth="true" hidden="false" outlineLevel="0" max="7938" min="7938" style="2" width="18"/>
    <col collapsed="false" customWidth="true" hidden="false" outlineLevel="0" max="7939" min="7939" style="2" width="45.3"/>
    <col collapsed="false" customWidth="true" hidden="false" outlineLevel="0" max="7943" min="7943" style="2" width="13.3"/>
    <col collapsed="false" customWidth="true" hidden="false" outlineLevel="0" max="7945" min="7945" style="2" width="15"/>
    <col collapsed="false" customWidth="true" hidden="false" outlineLevel="0" max="7947" min="7947" style="2" width="10.14"/>
    <col collapsed="false" customWidth="true" hidden="false" outlineLevel="0" max="8193" min="8193" style="2" width="11.28"/>
    <col collapsed="false" customWidth="true" hidden="false" outlineLevel="0" max="8194" min="8194" style="2" width="18"/>
    <col collapsed="false" customWidth="true" hidden="false" outlineLevel="0" max="8195" min="8195" style="2" width="45.3"/>
    <col collapsed="false" customWidth="true" hidden="false" outlineLevel="0" max="8199" min="8199" style="2" width="13.3"/>
    <col collapsed="false" customWidth="true" hidden="false" outlineLevel="0" max="8201" min="8201" style="2" width="15"/>
    <col collapsed="false" customWidth="true" hidden="false" outlineLevel="0" max="8203" min="8203" style="2" width="10.14"/>
    <col collapsed="false" customWidth="true" hidden="false" outlineLevel="0" max="8449" min="8449" style="2" width="11.28"/>
    <col collapsed="false" customWidth="true" hidden="false" outlineLevel="0" max="8450" min="8450" style="2" width="18"/>
    <col collapsed="false" customWidth="true" hidden="false" outlineLevel="0" max="8451" min="8451" style="2" width="45.3"/>
    <col collapsed="false" customWidth="true" hidden="false" outlineLevel="0" max="8455" min="8455" style="2" width="13.3"/>
    <col collapsed="false" customWidth="true" hidden="false" outlineLevel="0" max="8457" min="8457" style="2" width="15"/>
    <col collapsed="false" customWidth="true" hidden="false" outlineLevel="0" max="8459" min="8459" style="2" width="10.14"/>
    <col collapsed="false" customWidth="true" hidden="false" outlineLevel="0" max="8705" min="8705" style="2" width="11.28"/>
    <col collapsed="false" customWidth="true" hidden="false" outlineLevel="0" max="8706" min="8706" style="2" width="18"/>
    <col collapsed="false" customWidth="true" hidden="false" outlineLevel="0" max="8707" min="8707" style="2" width="45.3"/>
    <col collapsed="false" customWidth="true" hidden="false" outlineLevel="0" max="8711" min="8711" style="2" width="13.3"/>
    <col collapsed="false" customWidth="true" hidden="false" outlineLevel="0" max="8713" min="8713" style="2" width="15"/>
    <col collapsed="false" customWidth="true" hidden="false" outlineLevel="0" max="8715" min="8715" style="2" width="10.14"/>
    <col collapsed="false" customWidth="true" hidden="false" outlineLevel="0" max="8961" min="8961" style="2" width="11.28"/>
    <col collapsed="false" customWidth="true" hidden="false" outlineLevel="0" max="8962" min="8962" style="2" width="18"/>
    <col collapsed="false" customWidth="true" hidden="false" outlineLevel="0" max="8963" min="8963" style="2" width="45.3"/>
    <col collapsed="false" customWidth="true" hidden="false" outlineLevel="0" max="8967" min="8967" style="2" width="13.3"/>
    <col collapsed="false" customWidth="true" hidden="false" outlineLevel="0" max="8969" min="8969" style="2" width="15"/>
    <col collapsed="false" customWidth="true" hidden="false" outlineLevel="0" max="8971" min="8971" style="2" width="10.14"/>
    <col collapsed="false" customWidth="true" hidden="false" outlineLevel="0" max="9217" min="9217" style="2" width="11.28"/>
    <col collapsed="false" customWidth="true" hidden="false" outlineLevel="0" max="9218" min="9218" style="2" width="18"/>
    <col collapsed="false" customWidth="true" hidden="false" outlineLevel="0" max="9219" min="9219" style="2" width="45.3"/>
    <col collapsed="false" customWidth="true" hidden="false" outlineLevel="0" max="9223" min="9223" style="2" width="13.3"/>
    <col collapsed="false" customWidth="true" hidden="false" outlineLevel="0" max="9225" min="9225" style="2" width="15"/>
    <col collapsed="false" customWidth="true" hidden="false" outlineLevel="0" max="9227" min="9227" style="2" width="10.14"/>
    <col collapsed="false" customWidth="true" hidden="false" outlineLevel="0" max="9473" min="9473" style="2" width="11.28"/>
    <col collapsed="false" customWidth="true" hidden="false" outlineLevel="0" max="9474" min="9474" style="2" width="18"/>
    <col collapsed="false" customWidth="true" hidden="false" outlineLevel="0" max="9475" min="9475" style="2" width="45.3"/>
    <col collapsed="false" customWidth="true" hidden="false" outlineLevel="0" max="9479" min="9479" style="2" width="13.3"/>
    <col collapsed="false" customWidth="true" hidden="false" outlineLevel="0" max="9481" min="9481" style="2" width="15"/>
    <col collapsed="false" customWidth="true" hidden="false" outlineLevel="0" max="9483" min="9483" style="2" width="10.14"/>
    <col collapsed="false" customWidth="true" hidden="false" outlineLevel="0" max="9729" min="9729" style="2" width="11.28"/>
    <col collapsed="false" customWidth="true" hidden="false" outlineLevel="0" max="9730" min="9730" style="2" width="18"/>
    <col collapsed="false" customWidth="true" hidden="false" outlineLevel="0" max="9731" min="9731" style="2" width="45.3"/>
    <col collapsed="false" customWidth="true" hidden="false" outlineLevel="0" max="9735" min="9735" style="2" width="13.3"/>
    <col collapsed="false" customWidth="true" hidden="false" outlineLevel="0" max="9737" min="9737" style="2" width="15"/>
    <col collapsed="false" customWidth="true" hidden="false" outlineLevel="0" max="9739" min="9739" style="2" width="10.14"/>
    <col collapsed="false" customWidth="true" hidden="false" outlineLevel="0" max="9985" min="9985" style="2" width="11.28"/>
    <col collapsed="false" customWidth="true" hidden="false" outlineLevel="0" max="9986" min="9986" style="2" width="18"/>
    <col collapsed="false" customWidth="true" hidden="false" outlineLevel="0" max="9987" min="9987" style="2" width="45.3"/>
    <col collapsed="false" customWidth="true" hidden="false" outlineLevel="0" max="9991" min="9991" style="2" width="13.3"/>
    <col collapsed="false" customWidth="true" hidden="false" outlineLevel="0" max="9993" min="9993" style="2" width="15"/>
    <col collapsed="false" customWidth="true" hidden="false" outlineLevel="0" max="9995" min="9995" style="2" width="10.14"/>
    <col collapsed="false" customWidth="true" hidden="false" outlineLevel="0" max="10241" min="10241" style="2" width="11.28"/>
    <col collapsed="false" customWidth="true" hidden="false" outlineLevel="0" max="10242" min="10242" style="2" width="18"/>
    <col collapsed="false" customWidth="true" hidden="false" outlineLevel="0" max="10243" min="10243" style="2" width="45.3"/>
    <col collapsed="false" customWidth="true" hidden="false" outlineLevel="0" max="10247" min="10247" style="2" width="13.3"/>
    <col collapsed="false" customWidth="true" hidden="false" outlineLevel="0" max="10249" min="10249" style="2" width="15"/>
    <col collapsed="false" customWidth="true" hidden="false" outlineLevel="0" max="10251" min="10251" style="2" width="10.14"/>
    <col collapsed="false" customWidth="true" hidden="false" outlineLevel="0" max="10497" min="10497" style="2" width="11.28"/>
    <col collapsed="false" customWidth="true" hidden="false" outlineLevel="0" max="10498" min="10498" style="2" width="18"/>
    <col collapsed="false" customWidth="true" hidden="false" outlineLevel="0" max="10499" min="10499" style="2" width="45.3"/>
    <col collapsed="false" customWidth="true" hidden="false" outlineLevel="0" max="10503" min="10503" style="2" width="13.3"/>
    <col collapsed="false" customWidth="true" hidden="false" outlineLevel="0" max="10505" min="10505" style="2" width="15"/>
    <col collapsed="false" customWidth="true" hidden="false" outlineLevel="0" max="10507" min="10507" style="2" width="10.14"/>
    <col collapsed="false" customWidth="true" hidden="false" outlineLevel="0" max="10753" min="10753" style="2" width="11.28"/>
    <col collapsed="false" customWidth="true" hidden="false" outlineLevel="0" max="10754" min="10754" style="2" width="18"/>
    <col collapsed="false" customWidth="true" hidden="false" outlineLevel="0" max="10755" min="10755" style="2" width="45.3"/>
    <col collapsed="false" customWidth="true" hidden="false" outlineLevel="0" max="10759" min="10759" style="2" width="13.3"/>
    <col collapsed="false" customWidth="true" hidden="false" outlineLevel="0" max="10761" min="10761" style="2" width="15"/>
    <col collapsed="false" customWidth="true" hidden="false" outlineLevel="0" max="10763" min="10763" style="2" width="10.14"/>
    <col collapsed="false" customWidth="true" hidden="false" outlineLevel="0" max="11009" min="11009" style="2" width="11.28"/>
    <col collapsed="false" customWidth="true" hidden="false" outlineLevel="0" max="11010" min="11010" style="2" width="18"/>
    <col collapsed="false" customWidth="true" hidden="false" outlineLevel="0" max="11011" min="11011" style="2" width="45.3"/>
    <col collapsed="false" customWidth="true" hidden="false" outlineLevel="0" max="11015" min="11015" style="2" width="13.3"/>
    <col collapsed="false" customWidth="true" hidden="false" outlineLevel="0" max="11017" min="11017" style="2" width="15"/>
    <col collapsed="false" customWidth="true" hidden="false" outlineLevel="0" max="11019" min="11019" style="2" width="10.14"/>
    <col collapsed="false" customWidth="true" hidden="false" outlineLevel="0" max="11265" min="11265" style="2" width="11.28"/>
    <col collapsed="false" customWidth="true" hidden="false" outlineLevel="0" max="11266" min="11266" style="2" width="18"/>
    <col collapsed="false" customWidth="true" hidden="false" outlineLevel="0" max="11267" min="11267" style="2" width="45.3"/>
    <col collapsed="false" customWidth="true" hidden="false" outlineLevel="0" max="11271" min="11271" style="2" width="13.3"/>
    <col collapsed="false" customWidth="true" hidden="false" outlineLevel="0" max="11273" min="11273" style="2" width="15"/>
    <col collapsed="false" customWidth="true" hidden="false" outlineLevel="0" max="11275" min="11275" style="2" width="10.14"/>
    <col collapsed="false" customWidth="true" hidden="false" outlineLevel="0" max="11521" min="11521" style="2" width="11.28"/>
    <col collapsed="false" customWidth="true" hidden="false" outlineLevel="0" max="11522" min="11522" style="2" width="18"/>
    <col collapsed="false" customWidth="true" hidden="false" outlineLevel="0" max="11523" min="11523" style="2" width="45.3"/>
    <col collapsed="false" customWidth="true" hidden="false" outlineLevel="0" max="11527" min="11527" style="2" width="13.3"/>
    <col collapsed="false" customWidth="true" hidden="false" outlineLevel="0" max="11529" min="11529" style="2" width="15"/>
    <col collapsed="false" customWidth="true" hidden="false" outlineLevel="0" max="11531" min="11531" style="2" width="10.14"/>
    <col collapsed="false" customWidth="true" hidden="false" outlineLevel="0" max="11777" min="11777" style="2" width="11.28"/>
    <col collapsed="false" customWidth="true" hidden="false" outlineLevel="0" max="11778" min="11778" style="2" width="18"/>
    <col collapsed="false" customWidth="true" hidden="false" outlineLevel="0" max="11779" min="11779" style="2" width="45.3"/>
    <col collapsed="false" customWidth="true" hidden="false" outlineLevel="0" max="11783" min="11783" style="2" width="13.3"/>
    <col collapsed="false" customWidth="true" hidden="false" outlineLevel="0" max="11785" min="11785" style="2" width="15"/>
    <col collapsed="false" customWidth="true" hidden="false" outlineLevel="0" max="11787" min="11787" style="2" width="10.14"/>
    <col collapsed="false" customWidth="true" hidden="false" outlineLevel="0" max="12033" min="12033" style="2" width="11.28"/>
    <col collapsed="false" customWidth="true" hidden="false" outlineLevel="0" max="12034" min="12034" style="2" width="18"/>
    <col collapsed="false" customWidth="true" hidden="false" outlineLevel="0" max="12035" min="12035" style="2" width="45.3"/>
    <col collapsed="false" customWidth="true" hidden="false" outlineLevel="0" max="12039" min="12039" style="2" width="13.3"/>
    <col collapsed="false" customWidth="true" hidden="false" outlineLevel="0" max="12041" min="12041" style="2" width="15"/>
    <col collapsed="false" customWidth="true" hidden="false" outlineLevel="0" max="12043" min="12043" style="2" width="10.14"/>
    <col collapsed="false" customWidth="true" hidden="false" outlineLevel="0" max="12289" min="12289" style="2" width="11.28"/>
    <col collapsed="false" customWidth="true" hidden="false" outlineLevel="0" max="12290" min="12290" style="2" width="18"/>
    <col collapsed="false" customWidth="true" hidden="false" outlineLevel="0" max="12291" min="12291" style="2" width="45.3"/>
    <col collapsed="false" customWidth="true" hidden="false" outlineLevel="0" max="12295" min="12295" style="2" width="13.3"/>
    <col collapsed="false" customWidth="true" hidden="false" outlineLevel="0" max="12297" min="12297" style="2" width="15"/>
    <col collapsed="false" customWidth="true" hidden="false" outlineLevel="0" max="12299" min="12299" style="2" width="10.14"/>
    <col collapsed="false" customWidth="true" hidden="false" outlineLevel="0" max="12545" min="12545" style="2" width="11.28"/>
    <col collapsed="false" customWidth="true" hidden="false" outlineLevel="0" max="12546" min="12546" style="2" width="18"/>
    <col collapsed="false" customWidth="true" hidden="false" outlineLevel="0" max="12547" min="12547" style="2" width="45.3"/>
    <col collapsed="false" customWidth="true" hidden="false" outlineLevel="0" max="12551" min="12551" style="2" width="13.3"/>
    <col collapsed="false" customWidth="true" hidden="false" outlineLevel="0" max="12553" min="12553" style="2" width="15"/>
    <col collapsed="false" customWidth="true" hidden="false" outlineLevel="0" max="12555" min="12555" style="2" width="10.14"/>
    <col collapsed="false" customWidth="true" hidden="false" outlineLevel="0" max="12801" min="12801" style="2" width="11.28"/>
    <col collapsed="false" customWidth="true" hidden="false" outlineLevel="0" max="12802" min="12802" style="2" width="18"/>
    <col collapsed="false" customWidth="true" hidden="false" outlineLevel="0" max="12803" min="12803" style="2" width="45.3"/>
    <col collapsed="false" customWidth="true" hidden="false" outlineLevel="0" max="12807" min="12807" style="2" width="13.3"/>
    <col collapsed="false" customWidth="true" hidden="false" outlineLevel="0" max="12809" min="12809" style="2" width="15"/>
    <col collapsed="false" customWidth="true" hidden="false" outlineLevel="0" max="12811" min="12811" style="2" width="10.14"/>
    <col collapsed="false" customWidth="true" hidden="false" outlineLevel="0" max="13057" min="13057" style="2" width="11.28"/>
    <col collapsed="false" customWidth="true" hidden="false" outlineLevel="0" max="13058" min="13058" style="2" width="18"/>
    <col collapsed="false" customWidth="true" hidden="false" outlineLevel="0" max="13059" min="13059" style="2" width="45.3"/>
    <col collapsed="false" customWidth="true" hidden="false" outlineLevel="0" max="13063" min="13063" style="2" width="13.3"/>
    <col collapsed="false" customWidth="true" hidden="false" outlineLevel="0" max="13065" min="13065" style="2" width="15"/>
    <col collapsed="false" customWidth="true" hidden="false" outlineLevel="0" max="13067" min="13067" style="2" width="10.14"/>
    <col collapsed="false" customWidth="true" hidden="false" outlineLevel="0" max="13313" min="13313" style="2" width="11.28"/>
    <col collapsed="false" customWidth="true" hidden="false" outlineLevel="0" max="13314" min="13314" style="2" width="18"/>
    <col collapsed="false" customWidth="true" hidden="false" outlineLevel="0" max="13315" min="13315" style="2" width="45.3"/>
    <col collapsed="false" customWidth="true" hidden="false" outlineLevel="0" max="13319" min="13319" style="2" width="13.3"/>
    <col collapsed="false" customWidth="true" hidden="false" outlineLevel="0" max="13321" min="13321" style="2" width="15"/>
    <col collapsed="false" customWidth="true" hidden="false" outlineLevel="0" max="13323" min="13323" style="2" width="10.14"/>
    <col collapsed="false" customWidth="true" hidden="false" outlineLevel="0" max="13569" min="13569" style="2" width="11.28"/>
    <col collapsed="false" customWidth="true" hidden="false" outlineLevel="0" max="13570" min="13570" style="2" width="18"/>
    <col collapsed="false" customWidth="true" hidden="false" outlineLevel="0" max="13571" min="13571" style="2" width="45.3"/>
    <col collapsed="false" customWidth="true" hidden="false" outlineLevel="0" max="13575" min="13575" style="2" width="13.3"/>
    <col collapsed="false" customWidth="true" hidden="false" outlineLevel="0" max="13577" min="13577" style="2" width="15"/>
    <col collapsed="false" customWidth="true" hidden="false" outlineLevel="0" max="13579" min="13579" style="2" width="10.14"/>
    <col collapsed="false" customWidth="true" hidden="false" outlineLevel="0" max="13825" min="13825" style="2" width="11.28"/>
    <col collapsed="false" customWidth="true" hidden="false" outlineLevel="0" max="13826" min="13826" style="2" width="18"/>
    <col collapsed="false" customWidth="true" hidden="false" outlineLevel="0" max="13827" min="13827" style="2" width="45.3"/>
    <col collapsed="false" customWidth="true" hidden="false" outlineLevel="0" max="13831" min="13831" style="2" width="13.3"/>
    <col collapsed="false" customWidth="true" hidden="false" outlineLevel="0" max="13833" min="13833" style="2" width="15"/>
    <col collapsed="false" customWidth="true" hidden="false" outlineLevel="0" max="13835" min="13835" style="2" width="10.14"/>
    <col collapsed="false" customWidth="true" hidden="false" outlineLevel="0" max="14081" min="14081" style="2" width="11.28"/>
    <col collapsed="false" customWidth="true" hidden="false" outlineLevel="0" max="14082" min="14082" style="2" width="18"/>
    <col collapsed="false" customWidth="true" hidden="false" outlineLevel="0" max="14083" min="14083" style="2" width="45.3"/>
    <col collapsed="false" customWidth="true" hidden="false" outlineLevel="0" max="14087" min="14087" style="2" width="13.3"/>
    <col collapsed="false" customWidth="true" hidden="false" outlineLevel="0" max="14089" min="14089" style="2" width="15"/>
    <col collapsed="false" customWidth="true" hidden="false" outlineLevel="0" max="14091" min="14091" style="2" width="10.14"/>
    <col collapsed="false" customWidth="true" hidden="false" outlineLevel="0" max="14337" min="14337" style="2" width="11.28"/>
    <col collapsed="false" customWidth="true" hidden="false" outlineLevel="0" max="14338" min="14338" style="2" width="18"/>
    <col collapsed="false" customWidth="true" hidden="false" outlineLevel="0" max="14339" min="14339" style="2" width="45.3"/>
    <col collapsed="false" customWidth="true" hidden="false" outlineLevel="0" max="14343" min="14343" style="2" width="13.3"/>
    <col collapsed="false" customWidth="true" hidden="false" outlineLevel="0" max="14345" min="14345" style="2" width="15"/>
    <col collapsed="false" customWidth="true" hidden="false" outlineLevel="0" max="14347" min="14347" style="2" width="10.14"/>
    <col collapsed="false" customWidth="true" hidden="false" outlineLevel="0" max="14593" min="14593" style="2" width="11.28"/>
    <col collapsed="false" customWidth="true" hidden="false" outlineLevel="0" max="14594" min="14594" style="2" width="18"/>
    <col collapsed="false" customWidth="true" hidden="false" outlineLevel="0" max="14595" min="14595" style="2" width="45.3"/>
    <col collapsed="false" customWidth="true" hidden="false" outlineLevel="0" max="14599" min="14599" style="2" width="13.3"/>
    <col collapsed="false" customWidth="true" hidden="false" outlineLevel="0" max="14601" min="14601" style="2" width="15"/>
    <col collapsed="false" customWidth="true" hidden="false" outlineLevel="0" max="14603" min="14603" style="2" width="10.14"/>
    <col collapsed="false" customWidth="true" hidden="false" outlineLevel="0" max="14849" min="14849" style="2" width="11.28"/>
    <col collapsed="false" customWidth="true" hidden="false" outlineLevel="0" max="14850" min="14850" style="2" width="18"/>
    <col collapsed="false" customWidth="true" hidden="false" outlineLevel="0" max="14851" min="14851" style="2" width="45.3"/>
    <col collapsed="false" customWidth="true" hidden="false" outlineLevel="0" max="14855" min="14855" style="2" width="13.3"/>
    <col collapsed="false" customWidth="true" hidden="false" outlineLevel="0" max="14857" min="14857" style="2" width="15"/>
    <col collapsed="false" customWidth="true" hidden="false" outlineLevel="0" max="14859" min="14859" style="2" width="10.14"/>
    <col collapsed="false" customWidth="true" hidden="false" outlineLevel="0" max="15105" min="15105" style="2" width="11.28"/>
    <col collapsed="false" customWidth="true" hidden="false" outlineLevel="0" max="15106" min="15106" style="2" width="18"/>
    <col collapsed="false" customWidth="true" hidden="false" outlineLevel="0" max="15107" min="15107" style="2" width="45.3"/>
    <col collapsed="false" customWidth="true" hidden="false" outlineLevel="0" max="15111" min="15111" style="2" width="13.3"/>
    <col collapsed="false" customWidth="true" hidden="false" outlineLevel="0" max="15113" min="15113" style="2" width="15"/>
    <col collapsed="false" customWidth="true" hidden="false" outlineLevel="0" max="15115" min="15115" style="2" width="10.14"/>
    <col collapsed="false" customWidth="true" hidden="false" outlineLevel="0" max="15361" min="15361" style="2" width="11.28"/>
    <col collapsed="false" customWidth="true" hidden="false" outlineLevel="0" max="15362" min="15362" style="2" width="18"/>
    <col collapsed="false" customWidth="true" hidden="false" outlineLevel="0" max="15363" min="15363" style="2" width="45.3"/>
    <col collapsed="false" customWidth="true" hidden="false" outlineLevel="0" max="15367" min="15367" style="2" width="13.3"/>
    <col collapsed="false" customWidth="true" hidden="false" outlineLevel="0" max="15369" min="15369" style="2" width="15"/>
    <col collapsed="false" customWidth="true" hidden="false" outlineLevel="0" max="15371" min="15371" style="2" width="10.14"/>
    <col collapsed="false" customWidth="true" hidden="false" outlineLevel="0" max="15617" min="15617" style="2" width="11.28"/>
    <col collapsed="false" customWidth="true" hidden="false" outlineLevel="0" max="15618" min="15618" style="2" width="18"/>
    <col collapsed="false" customWidth="true" hidden="false" outlineLevel="0" max="15619" min="15619" style="2" width="45.3"/>
    <col collapsed="false" customWidth="true" hidden="false" outlineLevel="0" max="15623" min="15623" style="2" width="13.3"/>
    <col collapsed="false" customWidth="true" hidden="false" outlineLevel="0" max="15625" min="15625" style="2" width="15"/>
    <col collapsed="false" customWidth="true" hidden="false" outlineLevel="0" max="15627" min="15627" style="2" width="10.14"/>
    <col collapsed="false" customWidth="true" hidden="false" outlineLevel="0" max="15873" min="15873" style="2" width="11.28"/>
    <col collapsed="false" customWidth="true" hidden="false" outlineLevel="0" max="15874" min="15874" style="2" width="18"/>
    <col collapsed="false" customWidth="true" hidden="false" outlineLevel="0" max="15875" min="15875" style="2" width="45.3"/>
    <col collapsed="false" customWidth="true" hidden="false" outlineLevel="0" max="15879" min="15879" style="2" width="13.3"/>
    <col collapsed="false" customWidth="true" hidden="false" outlineLevel="0" max="15881" min="15881" style="2" width="15"/>
    <col collapsed="false" customWidth="true" hidden="false" outlineLevel="0" max="15883" min="15883" style="2" width="10.14"/>
    <col collapsed="false" customWidth="true" hidden="false" outlineLevel="0" max="16129" min="16129" style="2" width="11.28"/>
    <col collapsed="false" customWidth="true" hidden="false" outlineLevel="0" max="16130" min="16130" style="2" width="18"/>
    <col collapsed="false" customWidth="true" hidden="false" outlineLevel="0" max="16131" min="16131" style="2" width="45.3"/>
    <col collapsed="false" customWidth="true" hidden="false" outlineLevel="0" max="16135" min="16135" style="2" width="13.3"/>
    <col collapsed="false" customWidth="true" hidden="false" outlineLevel="0" max="16137" min="16137" style="2" width="15"/>
    <col collapsed="false" customWidth="true" hidden="false" outlineLevel="0" max="16139" min="16139" style="2" width="10.14"/>
  </cols>
  <sheetData>
    <row r="1" customFormat="false" ht="15.75" hidden="false" customHeight="true" outlineLevel="0" collapsed="false">
      <c r="A1" s="3" t="s">
        <v>0</v>
      </c>
      <c r="B1" s="4" t="s">
        <v>1</v>
      </c>
      <c r="C1" s="5" t="s">
        <v>2</v>
      </c>
    </row>
    <row r="2" customFormat="false" ht="15" hidden="false" customHeight="true" outlineLevel="0" collapsed="false">
      <c r="A2" s="6" t="n">
        <v>36892</v>
      </c>
      <c r="B2" s="7" t="s">
        <v>3</v>
      </c>
      <c r="C2" s="7" t="s">
        <v>4</v>
      </c>
    </row>
    <row r="3" customFormat="false" ht="15" hidden="false" customHeight="true" outlineLevel="0" collapsed="false">
      <c r="A3" s="6" t="n">
        <v>36948</v>
      </c>
      <c r="B3" s="7" t="s">
        <v>3</v>
      </c>
      <c r="C3" s="7" t="s">
        <v>5</v>
      </c>
    </row>
    <row r="4" customFormat="false" ht="15" hidden="false" customHeight="true" outlineLevel="0" collapsed="false">
      <c r="A4" s="6" t="n">
        <v>36949</v>
      </c>
      <c r="B4" s="7" t="s">
        <v>6</v>
      </c>
      <c r="C4" s="7" t="s">
        <v>5</v>
      </c>
    </row>
    <row r="5" customFormat="false" ht="15" hidden="false" customHeight="true" outlineLevel="0" collapsed="false">
      <c r="A5" s="6" t="n">
        <v>36994</v>
      </c>
      <c r="B5" s="7" t="s">
        <v>7</v>
      </c>
      <c r="C5" s="7" t="s">
        <v>8</v>
      </c>
    </row>
    <row r="6" customFormat="false" ht="15" hidden="false" customHeight="true" outlineLevel="0" collapsed="false">
      <c r="A6" s="6" t="n">
        <v>37002</v>
      </c>
      <c r="B6" s="7" t="s">
        <v>9</v>
      </c>
      <c r="C6" s="7" t="s">
        <v>10</v>
      </c>
    </row>
    <row r="7" customFormat="false" ht="15" hidden="false" customHeight="true" outlineLevel="0" collapsed="false">
      <c r="A7" s="6" t="n">
        <v>37012</v>
      </c>
      <c r="B7" s="7" t="s">
        <v>6</v>
      </c>
      <c r="C7" s="7" t="s">
        <v>11</v>
      </c>
    </row>
    <row r="8" customFormat="false" ht="15" hidden="false" customHeight="true" outlineLevel="0" collapsed="false">
      <c r="A8" s="6" t="n">
        <v>37056</v>
      </c>
      <c r="B8" s="7" t="s">
        <v>12</v>
      </c>
      <c r="C8" s="7" t="s">
        <v>13</v>
      </c>
    </row>
    <row r="9" customFormat="false" ht="15" hidden="false" customHeight="true" outlineLevel="0" collapsed="false">
      <c r="A9" s="6" t="n">
        <v>37141</v>
      </c>
      <c r="B9" s="7" t="s">
        <v>7</v>
      </c>
      <c r="C9" s="7" t="s">
        <v>14</v>
      </c>
    </row>
    <row r="10" customFormat="false" ht="15" hidden="false" customHeight="true" outlineLevel="0" collapsed="false">
      <c r="A10" s="6" t="n">
        <v>37176</v>
      </c>
      <c r="B10" s="7" t="s">
        <v>7</v>
      </c>
      <c r="C10" s="7" t="s">
        <v>15</v>
      </c>
    </row>
    <row r="11" customFormat="false" ht="15" hidden="false" customHeight="true" outlineLevel="0" collapsed="false">
      <c r="A11" s="6" t="n">
        <v>37197</v>
      </c>
      <c r="B11" s="7" t="s">
        <v>7</v>
      </c>
      <c r="C11" s="7" t="s">
        <v>16</v>
      </c>
    </row>
    <row r="12" customFormat="false" ht="15" hidden="false" customHeight="true" outlineLevel="0" collapsed="false">
      <c r="A12" s="6" t="n">
        <v>37210</v>
      </c>
      <c r="B12" s="7" t="s">
        <v>12</v>
      </c>
      <c r="C12" s="7" t="s">
        <v>17</v>
      </c>
    </row>
    <row r="13" customFormat="false" ht="15" hidden="false" customHeight="true" outlineLevel="0" collapsed="false">
      <c r="A13" s="6" t="n">
        <v>37250</v>
      </c>
      <c r="B13" s="7" t="s">
        <v>6</v>
      </c>
      <c r="C13" s="7" t="s">
        <v>18</v>
      </c>
    </row>
    <row r="14" customFormat="false" ht="15" hidden="false" customHeight="true" outlineLevel="0" collapsed="false">
      <c r="A14" s="8" t="n">
        <v>37257</v>
      </c>
      <c r="B14" s="2" t="s">
        <v>6</v>
      </c>
      <c r="C14" s="2" t="s">
        <v>4</v>
      </c>
    </row>
    <row r="15" customFormat="false" ht="15" hidden="false" customHeight="true" outlineLevel="0" collapsed="false">
      <c r="A15" s="8" t="n">
        <v>37298</v>
      </c>
      <c r="B15" s="2" t="s">
        <v>3</v>
      </c>
      <c r="C15" s="2" t="s">
        <v>5</v>
      </c>
    </row>
    <row r="16" customFormat="false" ht="15" hidden="false" customHeight="true" outlineLevel="0" collapsed="false">
      <c r="A16" s="8" t="n">
        <v>37299</v>
      </c>
      <c r="B16" s="2" t="s">
        <v>6</v>
      </c>
      <c r="C16" s="2" t="s">
        <v>5</v>
      </c>
    </row>
    <row r="17" customFormat="false" ht="15" hidden="false" customHeight="true" outlineLevel="0" collapsed="false">
      <c r="A17" s="8" t="n">
        <v>37344</v>
      </c>
      <c r="B17" s="2" t="s">
        <v>7</v>
      </c>
      <c r="C17" s="2" t="s">
        <v>8</v>
      </c>
    </row>
    <row r="18" customFormat="false" ht="15" hidden="false" customHeight="true" outlineLevel="0" collapsed="false">
      <c r="A18" s="8" t="n">
        <v>37367</v>
      </c>
      <c r="B18" s="2" t="s">
        <v>19</v>
      </c>
      <c r="C18" s="2" t="s">
        <v>10</v>
      </c>
    </row>
    <row r="19" customFormat="false" ht="15" hidden="false" customHeight="true" outlineLevel="0" collapsed="false">
      <c r="A19" s="8" t="n">
        <v>37377</v>
      </c>
      <c r="B19" s="2" t="s">
        <v>20</v>
      </c>
      <c r="C19" s="2" t="s">
        <v>11</v>
      </c>
    </row>
    <row r="20" customFormat="false" ht="15" hidden="false" customHeight="true" outlineLevel="0" collapsed="false">
      <c r="A20" s="8" t="n">
        <v>37406</v>
      </c>
      <c r="B20" s="2" t="s">
        <v>12</v>
      </c>
      <c r="C20" s="2" t="s">
        <v>13</v>
      </c>
    </row>
    <row r="21" customFormat="false" ht="15" hidden="false" customHeight="true" outlineLevel="0" collapsed="false">
      <c r="A21" s="8" t="n">
        <v>37506</v>
      </c>
      <c r="B21" s="2" t="s">
        <v>9</v>
      </c>
      <c r="C21" s="2" t="s">
        <v>14</v>
      </c>
    </row>
    <row r="22" customFormat="false" ht="15" hidden="false" customHeight="true" outlineLevel="0" collapsed="false">
      <c r="A22" s="8" t="n">
        <v>37541</v>
      </c>
      <c r="B22" s="2" t="s">
        <v>9</v>
      </c>
      <c r="C22" s="2" t="s">
        <v>15</v>
      </c>
    </row>
    <row r="23" customFormat="false" ht="15" hidden="false" customHeight="true" outlineLevel="0" collapsed="false">
      <c r="A23" s="8" t="n">
        <v>37562</v>
      </c>
      <c r="B23" s="2" t="s">
        <v>9</v>
      </c>
      <c r="C23" s="2" t="s">
        <v>16</v>
      </c>
    </row>
    <row r="24" customFormat="false" ht="15" hidden="false" customHeight="true" outlineLevel="0" collapsed="false">
      <c r="A24" s="8" t="n">
        <v>37575</v>
      </c>
      <c r="B24" s="2" t="s">
        <v>7</v>
      </c>
      <c r="C24" s="2" t="s">
        <v>17</v>
      </c>
    </row>
    <row r="25" customFormat="false" ht="15" hidden="false" customHeight="true" outlineLevel="0" collapsed="false">
      <c r="A25" s="8" t="n">
        <v>37615</v>
      </c>
      <c r="B25" s="2" t="s">
        <v>20</v>
      </c>
      <c r="C25" s="2" t="s">
        <v>18</v>
      </c>
    </row>
    <row r="26" customFormat="false" ht="15" hidden="false" customHeight="true" outlineLevel="0" collapsed="false">
      <c r="A26" s="6" t="n">
        <v>37622</v>
      </c>
      <c r="B26" s="7" t="s">
        <v>20</v>
      </c>
      <c r="C26" s="7" t="s">
        <v>4</v>
      </c>
    </row>
    <row r="27" customFormat="false" ht="15" hidden="false" customHeight="true" outlineLevel="0" collapsed="false">
      <c r="A27" s="6" t="n">
        <v>37683</v>
      </c>
      <c r="B27" s="7" t="s">
        <v>3</v>
      </c>
      <c r="C27" s="7" t="s">
        <v>5</v>
      </c>
    </row>
    <row r="28" customFormat="false" ht="15" hidden="false" customHeight="true" outlineLevel="0" collapsed="false">
      <c r="A28" s="6" t="n">
        <v>37684</v>
      </c>
      <c r="B28" s="7" t="s">
        <v>6</v>
      </c>
      <c r="C28" s="7" t="s">
        <v>5</v>
      </c>
    </row>
    <row r="29" customFormat="false" ht="15" hidden="false" customHeight="true" outlineLevel="0" collapsed="false">
      <c r="A29" s="6" t="n">
        <v>37729</v>
      </c>
      <c r="B29" s="7" t="s">
        <v>7</v>
      </c>
      <c r="C29" s="7" t="s">
        <v>8</v>
      </c>
    </row>
    <row r="30" customFormat="false" ht="15" hidden="false" customHeight="true" outlineLevel="0" collapsed="false">
      <c r="A30" s="6" t="n">
        <v>37732</v>
      </c>
      <c r="B30" s="7" t="s">
        <v>3</v>
      </c>
      <c r="C30" s="7" t="s">
        <v>10</v>
      </c>
    </row>
    <row r="31" customFormat="false" ht="15" hidden="false" customHeight="true" outlineLevel="0" collapsed="false">
      <c r="A31" s="6" t="n">
        <v>37742</v>
      </c>
      <c r="B31" s="7" t="s">
        <v>12</v>
      </c>
      <c r="C31" s="7" t="s">
        <v>11</v>
      </c>
    </row>
    <row r="32" customFormat="false" ht="15" hidden="false" customHeight="true" outlineLevel="0" collapsed="false">
      <c r="A32" s="6" t="n">
        <v>37791</v>
      </c>
      <c r="B32" s="7" t="s">
        <v>12</v>
      </c>
      <c r="C32" s="7" t="s">
        <v>13</v>
      </c>
    </row>
    <row r="33" customFormat="false" ht="15" hidden="false" customHeight="true" outlineLevel="0" collapsed="false">
      <c r="A33" s="6" t="n">
        <v>37871</v>
      </c>
      <c r="B33" s="7" t="s">
        <v>19</v>
      </c>
      <c r="C33" s="7" t="s">
        <v>14</v>
      </c>
    </row>
    <row r="34" customFormat="false" ht="15" hidden="false" customHeight="true" outlineLevel="0" collapsed="false">
      <c r="A34" s="6" t="n">
        <v>37906</v>
      </c>
      <c r="B34" s="7" t="s">
        <v>19</v>
      </c>
      <c r="C34" s="7" t="s">
        <v>15</v>
      </c>
    </row>
    <row r="35" customFormat="false" ht="15" hidden="false" customHeight="true" outlineLevel="0" collapsed="false">
      <c r="A35" s="6" t="n">
        <v>37927</v>
      </c>
      <c r="B35" s="7" t="s">
        <v>19</v>
      </c>
      <c r="C35" s="7" t="s">
        <v>16</v>
      </c>
    </row>
    <row r="36" customFormat="false" ht="15" hidden="false" customHeight="true" outlineLevel="0" collapsed="false">
      <c r="A36" s="6" t="n">
        <v>37940</v>
      </c>
      <c r="B36" s="7" t="s">
        <v>9</v>
      </c>
      <c r="C36" s="7" t="s">
        <v>17</v>
      </c>
    </row>
    <row r="37" customFormat="false" ht="15" hidden="false" customHeight="true" outlineLevel="0" collapsed="false">
      <c r="A37" s="6" t="n">
        <v>37980</v>
      </c>
      <c r="B37" s="7" t="s">
        <v>12</v>
      </c>
      <c r="C37" s="7" t="s">
        <v>18</v>
      </c>
    </row>
    <row r="38" customFormat="false" ht="15" hidden="false" customHeight="true" outlineLevel="0" collapsed="false">
      <c r="A38" s="8" t="n">
        <v>37987</v>
      </c>
      <c r="B38" s="2" t="s">
        <v>12</v>
      </c>
      <c r="C38" s="2" t="s">
        <v>4</v>
      </c>
    </row>
    <row r="39" customFormat="false" ht="15" hidden="false" customHeight="true" outlineLevel="0" collapsed="false">
      <c r="A39" s="8" t="n">
        <v>38040</v>
      </c>
      <c r="B39" s="2" t="s">
        <v>3</v>
      </c>
      <c r="C39" s="2" t="s">
        <v>5</v>
      </c>
    </row>
    <row r="40" customFormat="false" ht="15" hidden="false" customHeight="true" outlineLevel="0" collapsed="false">
      <c r="A40" s="8" t="n">
        <v>38041</v>
      </c>
      <c r="B40" s="2" t="s">
        <v>6</v>
      </c>
      <c r="C40" s="2" t="s">
        <v>5</v>
      </c>
    </row>
    <row r="41" customFormat="false" ht="15" hidden="false" customHeight="true" outlineLevel="0" collapsed="false">
      <c r="A41" s="8" t="n">
        <v>38086</v>
      </c>
      <c r="B41" s="2" t="s">
        <v>7</v>
      </c>
      <c r="C41" s="2" t="s">
        <v>8</v>
      </c>
    </row>
    <row r="42" customFormat="false" ht="15" hidden="false" customHeight="true" outlineLevel="0" collapsed="false">
      <c r="A42" s="8" t="n">
        <v>38098</v>
      </c>
      <c r="B42" s="2" t="s">
        <v>20</v>
      </c>
      <c r="C42" s="2" t="s">
        <v>10</v>
      </c>
    </row>
    <row r="43" customFormat="false" ht="15" hidden="false" customHeight="true" outlineLevel="0" collapsed="false">
      <c r="A43" s="8" t="n">
        <v>38108</v>
      </c>
      <c r="B43" s="2" t="s">
        <v>9</v>
      </c>
      <c r="C43" s="2" t="s">
        <v>11</v>
      </c>
    </row>
    <row r="44" customFormat="false" ht="15" hidden="false" customHeight="true" outlineLevel="0" collapsed="false">
      <c r="A44" s="8" t="n">
        <v>38148</v>
      </c>
      <c r="B44" s="2" t="s">
        <v>12</v>
      </c>
      <c r="C44" s="2" t="s">
        <v>13</v>
      </c>
    </row>
    <row r="45" customFormat="false" ht="15" hidden="false" customHeight="true" outlineLevel="0" collapsed="false">
      <c r="A45" s="8" t="n">
        <v>38237</v>
      </c>
      <c r="B45" s="2" t="s">
        <v>6</v>
      </c>
      <c r="C45" s="2" t="s">
        <v>14</v>
      </c>
    </row>
    <row r="46" customFormat="false" ht="15" hidden="false" customHeight="true" outlineLevel="0" collapsed="false">
      <c r="A46" s="8" t="n">
        <v>38272</v>
      </c>
      <c r="B46" s="2" t="s">
        <v>6</v>
      </c>
      <c r="C46" s="2" t="s">
        <v>15</v>
      </c>
    </row>
    <row r="47" customFormat="false" ht="15" hidden="false" customHeight="true" outlineLevel="0" collapsed="false">
      <c r="A47" s="8" t="n">
        <v>38293</v>
      </c>
      <c r="B47" s="2" t="s">
        <v>6</v>
      </c>
      <c r="C47" s="2" t="s">
        <v>16</v>
      </c>
    </row>
    <row r="48" customFormat="false" ht="15" hidden="false" customHeight="true" outlineLevel="0" collapsed="false">
      <c r="A48" s="8" t="n">
        <v>38306</v>
      </c>
      <c r="B48" s="2" t="s">
        <v>3</v>
      </c>
      <c r="C48" s="2" t="s">
        <v>17</v>
      </c>
    </row>
    <row r="49" customFormat="false" ht="15" hidden="false" customHeight="true" outlineLevel="0" collapsed="false">
      <c r="A49" s="8" t="n">
        <v>38346</v>
      </c>
      <c r="B49" s="2" t="s">
        <v>9</v>
      </c>
      <c r="C49" s="2" t="s">
        <v>18</v>
      </c>
    </row>
    <row r="50" customFormat="false" ht="15" hidden="false" customHeight="true" outlineLevel="0" collapsed="false">
      <c r="A50" s="6" t="n">
        <v>38353</v>
      </c>
      <c r="B50" s="7" t="s">
        <v>9</v>
      </c>
      <c r="C50" s="7" t="s">
        <v>4</v>
      </c>
    </row>
    <row r="51" customFormat="false" ht="15" hidden="false" customHeight="true" outlineLevel="0" collapsed="false">
      <c r="A51" s="6" t="n">
        <v>38390</v>
      </c>
      <c r="B51" s="7" t="s">
        <v>3</v>
      </c>
      <c r="C51" s="7" t="s">
        <v>5</v>
      </c>
    </row>
    <row r="52" customFormat="false" ht="15" hidden="false" customHeight="true" outlineLevel="0" collapsed="false">
      <c r="A52" s="6" t="n">
        <v>38391</v>
      </c>
      <c r="B52" s="7" t="s">
        <v>6</v>
      </c>
      <c r="C52" s="7" t="s">
        <v>5</v>
      </c>
    </row>
    <row r="53" customFormat="false" ht="15" hidden="false" customHeight="true" outlineLevel="0" collapsed="false">
      <c r="A53" s="6" t="n">
        <v>38436</v>
      </c>
      <c r="B53" s="7" t="s">
        <v>7</v>
      </c>
      <c r="C53" s="7" t="s">
        <v>8</v>
      </c>
    </row>
    <row r="54" customFormat="false" ht="15" hidden="false" customHeight="true" outlineLevel="0" collapsed="false">
      <c r="A54" s="6" t="n">
        <v>38463</v>
      </c>
      <c r="B54" s="7" t="s">
        <v>12</v>
      </c>
      <c r="C54" s="7" t="s">
        <v>10</v>
      </c>
    </row>
    <row r="55" customFormat="false" ht="15" hidden="false" customHeight="true" outlineLevel="0" collapsed="false">
      <c r="A55" s="6" t="n">
        <v>38473</v>
      </c>
      <c r="B55" s="7" t="s">
        <v>19</v>
      </c>
      <c r="C55" s="7" t="s">
        <v>11</v>
      </c>
    </row>
    <row r="56" customFormat="false" ht="15" hidden="false" customHeight="true" outlineLevel="0" collapsed="false">
      <c r="A56" s="6" t="n">
        <v>38498</v>
      </c>
      <c r="B56" s="7" t="s">
        <v>12</v>
      </c>
      <c r="C56" s="7" t="s">
        <v>13</v>
      </c>
    </row>
    <row r="57" customFormat="false" ht="15" hidden="false" customHeight="true" outlineLevel="0" collapsed="false">
      <c r="A57" s="6" t="n">
        <v>38602</v>
      </c>
      <c r="B57" s="7" t="s">
        <v>20</v>
      </c>
      <c r="C57" s="7" t="s">
        <v>14</v>
      </c>
    </row>
    <row r="58" customFormat="false" ht="15" hidden="false" customHeight="true" outlineLevel="0" collapsed="false">
      <c r="A58" s="6" t="n">
        <v>38637</v>
      </c>
      <c r="B58" s="7" t="s">
        <v>20</v>
      </c>
      <c r="C58" s="7" t="s">
        <v>15</v>
      </c>
    </row>
    <row r="59" customFormat="false" ht="15" hidden="false" customHeight="true" outlineLevel="0" collapsed="false">
      <c r="A59" s="6" t="n">
        <v>38658</v>
      </c>
      <c r="B59" s="7" t="s">
        <v>20</v>
      </c>
      <c r="C59" s="7" t="s">
        <v>16</v>
      </c>
    </row>
    <row r="60" customFormat="false" ht="15" hidden="false" customHeight="true" outlineLevel="0" collapsed="false">
      <c r="A60" s="6" t="n">
        <v>38671</v>
      </c>
      <c r="B60" s="7" t="s">
        <v>6</v>
      </c>
      <c r="C60" s="7" t="s">
        <v>17</v>
      </c>
    </row>
    <row r="61" customFormat="false" ht="15" hidden="false" customHeight="true" outlineLevel="0" collapsed="false">
      <c r="A61" s="6" t="n">
        <v>38711</v>
      </c>
      <c r="B61" s="7" t="s">
        <v>19</v>
      </c>
      <c r="C61" s="7" t="s">
        <v>18</v>
      </c>
    </row>
    <row r="62" customFormat="false" ht="15" hidden="false" customHeight="true" outlineLevel="0" collapsed="false">
      <c r="A62" s="8" t="n">
        <v>38718</v>
      </c>
      <c r="B62" s="2" t="s">
        <v>19</v>
      </c>
      <c r="C62" s="2" t="s">
        <v>4</v>
      </c>
    </row>
    <row r="63" customFormat="false" ht="15" hidden="false" customHeight="true" outlineLevel="0" collapsed="false">
      <c r="A63" s="8" t="n">
        <v>38775</v>
      </c>
      <c r="B63" s="2" t="s">
        <v>3</v>
      </c>
      <c r="C63" s="2" t="s">
        <v>5</v>
      </c>
    </row>
    <row r="64" customFormat="false" ht="15" hidden="false" customHeight="true" outlineLevel="0" collapsed="false">
      <c r="A64" s="8" t="n">
        <v>38776</v>
      </c>
      <c r="B64" s="2" t="s">
        <v>6</v>
      </c>
      <c r="C64" s="2" t="s">
        <v>5</v>
      </c>
    </row>
    <row r="65" customFormat="false" ht="15" hidden="false" customHeight="true" outlineLevel="0" collapsed="false">
      <c r="A65" s="8" t="n">
        <v>38821</v>
      </c>
      <c r="B65" s="2" t="s">
        <v>7</v>
      </c>
      <c r="C65" s="2" t="s">
        <v>8</v>
      </c>
    </row>
    <row r="66" customFormat="false" ht="15" hidden="false" customHeight="true" outlineLevel="0" collapsed="false">
      <c r="A66" s="8" t="n">
        <v>38828</v>
      </c>
      <c r="B66" s="2" t="s">
        <v>7</v>
      </c>
      <c r="C66" s="2" t="s">
        <v>10</v>
      </c>
    </row>
    <row r="67" customFormat="false" ht="15" hidden="false" customHeight="true" outlineLevel="0" collapsed="false">
      <c r="A67" s="8" t="n">
        <v>38838</v>
      </c>
      <c r="B67" s="2" t="s">
        <v>3</v>
      </c>
      <c r="C67" s="2" t="s">
        <v>11</v>
      </c>
    </row>
    <row r="68" customFormat="false" ht="15" hidden="false" customHeight="true" outlineLevel="0" collapsed="false">
      <c r="A68" s="8" t="n">
        <v>38883</v>
      </c>
      <c r="B68" s="2" t="s">
        <v>12</v>
      </c>
      <c r="C68" s="2" t="s">
        <v>13</v>
      </c>
    </row>
    <row r="69" customFormat="false" ht="15" hidden="false" customHeight="true" outlineLevel="0" collapsed="false">
      <c r="A69" s="8" t="n">
        <v>38967</v>
      </c>
      <c r="B69" s="2" t="s">
        <v>12</v>
      </c>
      <c r="C69" s="2" t="s">
        <v>14</v>
      </c>
    </row>
    <row r="70" customFormat="false" ht="15" hidden="false" customHeight="true" outlineLevel="0" collapsed="false">
      <c r="A70" s="8" t="n">
        <v>39002</v>
      </c>
      <c r="B70" s="2" t="s">
        <v>12</v>
      </c>
      <c r="C70" s="2" t="s">
        <v>15</v>
      </c>
    </row>
    <row r="71" customFormat="false" ht="15" hidden="false" customHeight="true" outlineLevel="0" collapsed="false">
      <c r="A71" s="8" t="n">
        <v>39023</v>
      </c>
      <c r="B71" s="2" t="s">
        <v>12</v>
      </c>
      <c r="C71" s="2" t="s">
        <v>16</v>
      </c>
    </row>
    <row r="72" customFormat="false" ht="15" hidden="false" customHeight="true" outlineLevel="0" collapsed="false">
      <c r="A72" s="8" t="n">
        <v>39036</v>
      </c>
      <c r="B72" s="2" t="s">
        <v>20</v>
      </c>
      <c r="C72" s="2" t="s">
        <v>17</v>
      </c>
    </row>
    <row r="73" customFormat="false" ht="15" hidden="false" customHeight="true" outlineLevel="0" collapsed="false">
      <c r="A73" s="8" t="n">
        <v>39076</v>
      </c>
      <c r="B73" s="2" t="s">
        <v>3</v>
      </c>
      <c r="C73" s="2" t="s">
        <v>18</v>
      </c>
    </row>
    <row r="74" customFormat="false" ht="15" hidden="false" customHeight="true" outlineLevel="0" collapsed="false">
      <c r="A74" s="6" t="n">
        <v>39083</v>
      </c>
      <c r="B74" s="7" t="s">
        <v>3</v>
      </c>
      <c r="C74" s="7" t="s">
        <v>4</v>
      </c>
    </row>
    <row r="75" customFormat="false" ht="15" hidden="false" customHeight="true" outlineLevel="0" collapsed="false">
      <c r="A75" s="6" t="n">
        <v>39132</v>
      </c>
      <c r="B75" s="7" t="s">
        <v>3</v>
      </c>
      <c r="C75" s="7" t="s">
        <v>5</v>
      </c>
    </row>
    <row r="76" customFormat="false" ht="15" hidden="false" customHeight="true" outlineLevel="0" collapsed="false">
      <c r="A76" s="6" t="n">
        <v>39133</v>
      </c>
      <c r="B76" s="7" t="s">
        <v>6</v>
      </c>
      <c r="C76" s="7" t="s">
        <v>5</v>
      </c>
    </row>
    <row r="77" customFormat="false" ht="15" hidden="false" customHeight="true" outlineLevel="0" collapsed="false">
      <c r="A77" s="6" t="n">
        <v>39178</v>
      </c>
      <c r="B77" s="7" t="s">
        <v>7</v>
      </c>
      <c r="C77" s="7" t="s">
        <v>8</v>
      </c>
    </row>
    <row r="78" customFormat="false" ht="15" hidden="false" customHeight="true" outlineLevel="0" collapsed="false">
      <c r="A78" s="6" t="n">
        <v>39193</v>
      </c>
      <c r="B78" s="7" t="s">
        <v>9</v>
      </c>
      <c r="C78" s="7" t="s">
        <v>10</v>
      </c>
    </row>
    <row r="79" customFormat="false" ht="15" hidden="false" customHeight="true" outlineLevel="0" collapsed="false">
      <c r="A79" s="6" t="n">
        <v>39203</v>
      </c>
      <c r="B79" s="7" t="s">
        <v>6</v>
      </c>
      <c r="C79" s="7" t="s">
        <v>11</v>
      </c>
    </row>
    <row r="80" customFormat="false" ht="15" hidden="false" customHeight="true" outlineLevel="0" collapsed="false">
      <c r="A80" s="6" t="n">
        <v>39240</v>
      </c>
      <c r="B80" s="7" t="s">
        <v>12</v>
      </c>
      <c r="C80" s="7" t="s">
        <v>13</v>
      </c>
    </row>
    <row r="81" customFormat="false" ht="15" hidden="false" customHeight="true" outlineLevel="0" collapsed="false">
      <c r="A81" s="6" t="n">
        <v>39332</v>
      </c>
      <c r="B81" s="7" t="s">
        <v>7</v>
      </c>
      <c r="C81" s="7" t="s">
        <v>14</v>
      </c>
    </row>
    <row r="82" customFormat="false" ht="15" hidden="false" customHeight="true" outlineLevel="0" collapsed="false">
      <c r="A82" s="6" t="n">
        <v>39367</v>
      </c>
      <c r="B82" s="7" t="s">
        <v>7</v>
      </c>
      <c r="C82" s="7" t="s">
        <v>15</v>
      </c>
    </row>
    <row r="83" customFormat="false" ht="15" hidden="false" customHeight="true" outlineLevel="0" collapsed="false">
      <c r="A83" s="6" t="n">
        <v>39388</v>
      </c>
      <c r="B83" s="7" t="s">
        <v>7</v>
      </c>
      <c r="C83" s="7" t="s">
        <v>16</v>
      </c>
    </row>
    <row r="84" customFormat="false" ht="15" hidden="false" customHeight="true" outlineLevel="0" collapsed="false">
      <c r="A84" s="6" t="n">
        <v>39401</v>
      </c>
      <c r="B84" s="7" t="s">
        <v>12</v>
      </c>
      <c r="C84" s="7" t="s">
        <v>17</v>
      </c>
    </row>
    <row r="85" customFormat="false" ht="15" hidden="false" customHeight="true" outlineLevel="0" collapsed="false">
      <c r="A85" s="6" t="n">
        <v>39441</v>
      </c>
      <c r="B85" s="7" t="s">
        <v>6</v>
      </c>
      <c r="C85" s="7" t="s">
        <v>18</v>
      </c>
    </row>
    <row r="86" customFormat="false" ht="15" hidden="false" customHeight="true" outlineLevel="0" collapsed="false">
      <c r="A86" s="8" t="n">
        <v>39448</v>
      </c>
      <c r="B86" s="2" t="s">
        <v>6</v>
      </c>
      <c r="C86" s="2" t="s">
        <v>4</v>
      </c>
    </row>
    <row r="87" customFormat="false" ht="15" hidden="false" customHeight="true" outlineLevel="0" collapsed="false">
      <c r="A87" s="8" t="n">
        <v>39482</v>
      </c>
      <c r="B87" s="2" t="s">
        <v>3</v>
      </c>
      <c r="C87" s="2" t="s">
        <v>5</v>
      </c>
    </row>
    <row r="88" customFormat="false" ht="15" hidden="false" customHeight="true" outlineLevel="0" collapsed="false">
      <c r="A88" s="8" t="n">
        <v>39483</v>
      </c>
      <c r="B88" s="2" t="s">
        <v>6</v>
      </c>
      <c r="C88" s="2" t="s">
        <v>5</v>
      </c>
    </row>
    <row r="89" customFormat="false" ht="15" hidden="false" customHeight="true" outlineLevel="0" collapsed="false">
      <c r="A89" s="8" t="n">
        <v>39528</v>
      </c>
      <c r="B89" s="2" t="s">
        <v>7</v>
      </c>
      <c r="C89" s="2" t="s">
        <v>8</v>
      </c>
    </row>
    <row r="90" customFormat="false" ht="15" hidden="false" customHeight="true" outlineLevel="0" collapsed="false">
      <c r="A90" s="8" t="n">
        <v>39559</v>
      </c>
      <c r="B90" s="2" t="s">
        <v>3</v>
      </c>
      <c r="C90" s="2" t="s">
        <v>10</v>
      </c>
    </row>
    <row r="91" customFormat="false" ht="15" hidden="false" customHeight="true" outlineLevel="0" collapsed="false">
      <c r="A91" s="8" t="n">
        <v>39569</v>
      </c>
      <c r="B91" s="2" t="s">
        <v>12</v>
      </c>
      <c r="C91" s="2" t="s">
        <v>11</v>
      </c>
    </row>
    <row r="92" customFormat="false" ht="15" hidden="false" customHeight="true" outlineLevel="0" collapsed="false">
      <c r="A92" s="8" t="n">
        <v>39590</v>
      </c>
      <c r="B92" s="2" t="s">
        <v>12</v>
      </c>
      <c r="C92" s="2" t="s">
        <v>13</v>
      </c>
    </row>
    <row r="93" customFormat="false" ht="15" hidden="false" customHeight="true" outlineLevel="0" collapsed="false">
      <c r="A93" s="8" t="n">
        <v>39698</v>
      </c>
      <c r="B93" s="2" t="s">
        <v>19</v>
      </c>
      <c r="C93" s="2" t="s">
        <v>14</v>
      </c>
    </row>
    <row r="94" customFormat="false" ht="15" hidden="false" customHeight="true" outlineLevel="0" collapsed="false">
      <c r="A94" s="8" t="n">
        <v>39733</v>
      </c>
      <c r="B94" s="2" t="s">
        <v>19</v>
      </c>
      <c r="C94" s="2" t="s">
        <v>15</v>
      </c>
    </row>
    <row r="95" customFormat="false" ht="15" hidden="false" customHeight="true" outlineLevel="0" collapsed="false">
      <c r="A95" s="8" t="n">
        <v>39754</v>
      </c>
      <c r="B95" s="2" t="s">
        <v>19</v>
      </c>
      <c r="C95" s="2" t="s">
        <v>16</v>
      </c>
    </row>
    <row r="96" customFormat="false" ht="15" hidden="false" customHeight="true" outlineLevel="0" collapsed="false">
      <c r="A96" s="8" t="n">
        <v>39767</v>
      </c>
      <c r="B96" s="2" t="s">
        <v>9</v>
      </c>
      <c r="C96" s="2" t="s">
        <v>17</v>
      </c>
    </row>
    <row r="97" customFormat="false" ht="15" hidden="false" customHeight="true" outlineLevel="0" collapsed="false">
      <c r="A97" s="8" t="n">
        <v>39807</v>
      </c>
      <c r="B97" s="2" t="s">
        <v>12</v>
      </c>
      <c r="C97" s="2" t="s">
        <v>18</v>
      </c>
    </row>
    <row r="98" customFormat="false" ht="15" hidden="false" customHeight="true" outlineLevel="0" collapsed="false">
      <c r="A98" s="6" t="n">
        <v>39814</v>
      </c>
      <c r="B98" s="7" t="s">
        <v>12</v>
      </c>
      <c r="C98" s="7" t="s">
        <v>4</v>
      </c>
    </row>
    <row r="99" customFormat="false" ht="15" hidden="false" customHeight="true" outlineLevel="0" collapsed="false">
      <c r="A99" s="6" t="n">
        <v>39867</v>
      </c>
      <c r="B99" s="7" t="s">
        <v>3</v>
      </c>
      <c r="C99" s="7" t="s">
        <v>5</v>
      </c>
    </row>
    <row r="100" customFormat="false" ht="15" hidden="false" customHeight="true" outlineLevel="0" collapsed="false">
      <c r="A100" s="6" t="n">
        <v>39868</v>
      </c>
      <c r="B100" s="7" t="s">
        <v>6</v>
      </c>
      <c r="C100" s="7" t="s">
        <v>5</v>
      </c>
    </row>
    <row r="101" customFormat="false" ht="15" hidden="false" customHeight="true" outlineLevel="0" collapsed="false">
      <c r="A101" s="6" t="n">
        <v>39913</v>
      </c>
      <c r="B101" s="7" t="s">
        <v>7</v>
      </c>
      <c r="C101" s="7" t="s">
        <v>8</v>
      </c>
    </row>
    <row r="102" customFormat="false" ht="15" hidden="false" customHeight="true" outlineLevel="0" collapsed="false">
      <c r="A102" s="6" t="n">
        <v>39924</v>
      </c>
      <c r="B102" s="7" t="s">
        <v>6</v>
      </c>
      <c r="C102" s="7" t="s">
        <v>10</v>
      </c>
    </row>
    <row r="103" customFormat="false" ht="15" hidden="false" customHeight="true" outlineLevel="0" collapsed="false">
      <c r="A103" s="6" t="n">
        <v>39934</v>
      </c>
      <c r="B103" s="7" t="s">
        <v>7</v>
      </c>
      <c r="C103" s="7" t="s">
        <v>11</v>
      </c>
    </row>
    <row r="104" customFormat="false" ht="15" hidden="false" customHeight="true" outlineLevel="0" collapsed="false">
      <c r="A104" s="6" t="n">
        <v>39975</v>
      </c>
      <c r="B104" s="7" t="s">
        <v>12</v>
      </c>
      <c r="C104" s="7" t="s">
        <v>13</v>
      </c>
    </row>
    <row r="105" customFormat="false" ht="15" hidden="false" customHeight="true" outlineLevel="0" collapsed="false">
      <c r="A105" s="6" t="n">
        <v>40063</v>
      </c>
      <c r="B105" s="7" t="s">
        <v>3</v>
      </c>
      <c r="C105" s="7" t="s">
        <v>14</v>
      </c>
    </row>
    <row r="106" customFormat="false" ht="15" hidden="false" customHeight="true" outlineLevel="0" collapsed="false">
      <c r="A106" s="6" t="n">
        <v>40098</v>
      </c>
      <c r="B106" s="7" t="s">
        <v>3</v>
      </c>
      <c r="C106" s="7" t="s">
        <v>15</v>
      </c>
    </row>
    <row r="107" customFormat="false" ht="15" hidden="false" customHeight="true" outlineLevel="0" collapsed="false">
      <c r="A107" s="6" t="n">
        <v>40119</v>
      </c>
      <c r="B107" s="7" t="s">
        <v>3</v>
      </c>
      <c r="C107" s="7" t="s">
        <v>16</v>
      </c>
    </row>
    <row r="108" customFormat="false" ht="15" hidden="false" customHeight="true" outlineLevel="0" collapsed="false">
      <c r="A108" s="6" t="n">
        <v>40132</v>
      </c>
      <c r="B108" s="7" t="s">
        <v>19</v>
      </c>
      <c r="C108" s="7" t="s">
        <v>17</v>
      </c>
    </row>
    <row r="109" customFormat="false" ht="15" hidden="false" customHeight="true" outlineLevel="0" collapsed="false">
      <c r="A109" s="6" t="n">
        <v>40172</v>
      </c>
      <c r="B109" s="7" t="s">
        <v>7</v>
      </c>
      <c r="C109" s="7" t="s">
        <v>18</v>
      </c>
    </row>
    <row r="110" customFormat="false" ht="15" hidden="false" customHeight="true" outlineLevel="0" collapsed="false">
      <c r="A110" s="8" t="n">
        <v>40179</v>
      </c>
      <c r="B110" s="2" t="s">
        <v>7</v>
      </c>
      <c r="C110" s="2" t="s">
        <v>4</v>
      </c>
    </row>
    <row r="111" customFormat="false" ht="15" hidden="false" customHeight="true" outlineLevel="0" collapsed="false">
      <c r="A111" s="8" t="n">
        <v>40224</v>
      </c>
      <c r="B111" s="2" t="s">
        <v>3</v>
      </c>
      <c r="C111" s="2" t="s">
        <v>5</v>
      </c>
    </row>
    <row r="112" customFormat="false" ht="15" hidden="false" customHeight="true" outlineLevel="0" collapsed="false">
      <c r="A112" s="8" t="n">
        <v>40225</v>
      </c>
      <c r="B112" s="2" t="s">
        <v>6</v>
      </c>
      <c r="C112" s="2" t="s">
        <v>5</v>
      </c>
    </row>
    <row r="113" customFormat="false" ht="15" hidden="false" customHeight="true" outlineLevel="0" collapsed="false">
      <c r="A113" s="8" t="n">
        <v>40270</v>
      </c>
      <c r="B113" s="2" t="s">
        <v>7</v>
      </c>
      <c r="C113" s="2" t="s">
        <v>8</v>
      </c>
    </row>
    <row r="114" customFormat="false" ht="15" hidden="false" customHeight="true" outlineLevel="0" collapsed="false">
      <c r="A114" s="8" t="n">
        <v>40289</v>
      </c>
      <c r="B114" s="2" t="s">
        <v>20</v>
      </c>
      <c r="C114" s="2" t="s">
        <v>10</v>
      </c>
    </row>
    <row r="115" customFormat="false" ht="15" hidden="false" customHeight="true" outlineLevel="0" collapsed="false">
      <c r="A115" s="8" t="n">
        <v>40299</v>
      </c>
      <c r="B115" s="2" t="s">
        <v>9</v>
      </c>
      <c r="C115" s="2" t="s">
        <v>11</v>
      </c>
    </row>
    <row r="116" customFormat="false" ht="15" hidden="false" customHeight="true" outlineLevel="0" collapsed="false">
      <c r="A116" s="8" t="n">
        <v>40332</v>
      </c>
      <c r="B116" s="2" t="s">
        <v>12</v>
      </c>
      <c r="C116" s="2" t="s">
        <v>13</v>
      </c>
    </row>
    <row r="117" customFormat="false" ht="15" hidden="false" customHeight="true" outlineLevel="0" collapsed="false">
      <c r="A117" s="8" t="n">
        <v>40428</v>
      </c>
      <c r="B117" s="2" t="s">
        <v>6</v>
      </c>
      <c r="C117" s="2" t="s">
        <v>14</v>
      </c>
    </row>
    <row r="118" customFormat="false" ht="15" hidden="false" customHeight="true" outlineLevel="0" collapsed="false">
      <c r="A118" s="8" t="n">
        <v>40463</v>
      </c>
      <c r="B118" s="2" t="s">
        <v>6</v>
      </c>
      <c r="C118" s="2" t="s">
        <v>15</v>
      </c>
    </row>
    <row r="119" customFormat="false" ht="15" hidden="false" customHeight="true" outlineLevel="0" collapsed="false">
      <c r="A119" s="8" t="n">
        <v>40484</v>
      </c>
      <c r="B119" s="2" t="s">
        <v>6</v>
      </c>
      <c r="C119" s="2" t="s">
        <v>16</v>
      </c>
    </row>
    <row r="120" customFormat="false" ht="15" hidden="false" customHeight="true" outlineLevel="0" collapsed="false">
      <c r="A120" s="8" t="n">
        <v>40497</v>
      </c>
      <c r="B120" s="2" t="s">
        <v>3</v>
      </c>
      <c r="C120" s="2" t="s">
        <v>17</v>
      </c>
    </row>
    <row r="121" customFormat="false" ht="15" hidden="false" customHeight="true" outlineLevel="0" collapsed="false">
      <c r="A121" s="8" t="n">
        <v>40537</v>
      </c>
      <c r="B121" s="2" t="s">
        <v>9</v>
      </c>
      <c r="C121" s="2" t="s">
        <v>18</v>
      </c>
    </row>
    <row r="122" customFormat="false" ht="15" hidden="false" customHeight="true" outlineLevel="0" collapsed="false">
      <c r="A122" s="6" t="n">
        <v>40544</v>
      </c>
      <c r="B122" s="7" t="s">
        <v>9</v>
      </c>
      <c r="C122" s="7" t="s">
        <v>4</v>
      </c>
    </row>
    <row r="123" customFormat="false" ht="15" hidden="false" customHeight="true" outlineLevel="0" collapsed="false">
      <c r="A123" s="6" t="n">
        <v>40609</v>
      </c>
      <c r="B123" s="7" t="s">
        <v>3</v>
      </c>
      <c r="C123" s="7" t="s">
        <v>5</v>
      </c>
    </row>
    <row r="124" customFormat="false" ht="15" hidden="false" customHeight="true" outlineLevel="0" collapsed="false">
      <c r="A124" s="6" t="n">
        <v>40610</v>
      </c>
      <c r="B124" s="7" t="s">
        <v>6</v>
      </c>
      <c r="C124" s="7" t="s">
        <v>5</v>
      </c>
    </row>
    <row r="125" customFormat="false" ht="15" hidden="false" customHeight="true" outlineLevel="0" collapsed="false">
      <c r="A125" s="6" t="n">
        <v>40654</v>
      </c>
      <c r="B125" s="7" t="s">
        <v>12</v>
      </c>
      <c r="C125" s="7" t="s">
        <v>10</v>
      </c>
    </row>
    <row r="126" customFormat="false" ht="15" hidden="false" customHeight="true" outlineLevel="0" collapsed="false">
      <c r="A126" s="6" t="n">
        <v>40655</v>
      </c>
      <c r="B126" s="7" t="s">
        <v>7</v>
      </c>
      <c r="C126" s="7" t="s">
        <v>8</v>
      </c>
    </row>
    <row r="127" customFormat="false" ht="15" hidden="false" customHeight="true" outlineLevel="0" collapsed="false">
      <c r="A127" s="6" t="n">
        <v>40664</v>
      </c>
      <c r="B127" s="7" t="s">
        <v>19</v>
      </c>
      <c r="C127" s="7" t="s">
        <v>11</v>
      </c>
    </row>
    <row r="128" customFormat="false" ht="15" hidden="false" customHeight="true" outlineLevel="0" collapsed="false">
      <c r="A128" s="6" t="n">
        <v>40717</v>
      </c>
      <c r="B128" s="7" t="s">
        <v>12</v>
      </c>
      <c r="C128" s="7" t="s">
        <v>13</v>
      </c>
    </row>
    <row r="129" customFormat="false" ht="15" hidden="false" customHeight="true" outlineLevel="0" collapsed="false">
      <c r="A129" s="6" t="n">
        <v>40793</v>
      </c>
      <c r="B129" s="7" t="s">
        <v>20</v>
      </c>
      <c r="C129" s="7" t="s">
        <v>14</v>
      </c>
    </row>
    <row r="130" customFormat="false" ht="15" hidden="false" customHeight="true" outlineLevel="0" collapsed="false">
      <c r="A130" s="6" t="n">
        <v>40828</v>
      </c>
      <c r="B130" s="7" t="s">
        <v>20</v>
      </c>
      <c r="C130" s="7" t="s">
        <v>15</v>
      </c>
    </row>
    <row r="131" customFormat="false" ht="15" hidden="false" customHeight="true" outlineLevel="0" collapsed="false">
      <c r="A131" s="6" t="n">
        <v>40849</v>
      </c>
      <c r="B131" s="7" t="s">
        <v>20</v>
      </c>
      <c r="C131" s="7" t="s">
        <v>16</v>
      </c>
    </row>
    <row r="132" customFormat="false" ht="15" hidden="false" customHeight="true" outlineLevel="0" collapsed="false">
      <c r="A132" s="6" t="n">
        <v>40862</v>
      </c>
      <c r="B132" s="7" t="s">
        <v>6</v>
      </c>
      <c r="C132" s="7" t="s">
        <v>17</v>
      </c>
    </row>
    <row r="133" customFormat="false" ht="15" hidden="false" customHeight="true" outlineLevel="0" collapsed="false">
      <c r="A133" s="6" t="n">
        <v>40902</v>
      </c>
      <c r="B133" s="7" t="s">
        <v>19</v>
      </c>
      <c r="C133" s="7" t="s">
        <v>18</v>
      </c>
    </row>
    <row r="134" customFormat="false" ht="15" hidden="false" customHeight="true" outlineLevel="0" collapsed="false">
      <c r="A134" s="8" t="n">
        <v>40909</v>
      </c>
      <c r="B134" s="2" t="s">
        <v>19</v>
      </c>
      <c r="C134" s="2" t="s">
        <v>4</v>
      </c>
    </row>
    <row r="135" customFormat="false" ht="15" hidden="false" customHeight="true" outlineLevel="0" collapsed="false">
      <c r="A135" s="8" t="n">
        <v>40959</v>
      </c>
      <c r="B135" s="2" t="s">
        <v>3</v>
      </c>
      <c r="C135" s="2" t="s">
        <v>5</v>
      </c>
    </row>
    <row r="136" customFormat="false" ht="15" hidden="false" customHeight="true" outlineLevel="0" collapsed="false">
      <c r="A136" s="8" t="n">
        <v>40960</v>
      </c>
      <c r="B136" s="2" t="s">
        <v>6</v>
      </c>
      <c r="C136" s="2" t="s">
        <v>5</v>
      </c>
    </row>
    <row r="137" customFormat="false" ht="15" hidden="false" customHeight="true" outlineLevel="0" collapsed="false">
      <c r="A137" s="8" t="n">
        <v>41005</v>
      </c>
      <c r="B137" s="2" t="s">
        <v>7</v>
      </c>
      <c r="C137" s="2" t="s">
        <v>8</v>
      </c>
    </row>
    <row r="138" customFormat="false" ht="15" hidden="false" customHeight="true" outlineLevel="0" collapsed="false">
      <c r="A138" s="8" t="n">
        <v>41020</v>
      </c>
      <c r="B138" s="2" t="s">
        <v>9</v>
      </c>
      <c r="C138" s="2" t="s">
        <v>10</v>
      </c>
    </row>
    <row r="139" customFormat="false" ht="15" hidden="false" customHeight="true" outlineLevel="0" collapsed="false">
      <c r="A139" s="8" t="n">
        <v>41030</v>
      </c>
      <c r="B139" s="2" t="s">
        <v>6</v>
      </c>
      <c r="C139" s="2" t="s">
        <v>11</v>
      </c>
    </row>
    <row r="140" customFormat="false" ht="15" hidden="false" customHeight="true" outlineLevel="0" collapsed="false">
      <c r="A140" s="8" t="n">
        <v>41067</v>
      </c>
      <c r="B140" s="2" t="s">
        <v>12</v>
      </c>
      <c r="C140" s="2" t="s">
        <v>13</v>
      </c>
    </row>
    <row r="141" customFormat="false" ht="15" hidden="false" customHeight="true" outlineLevel="0" collapsed="false">
      <c r="A141" s="8" t="n">
        <v>41159</v>
      </c>
      <c r="B141" s="2" t="s">
        <v>7</v>
      </c>
      <c r="C141" s="2" t="s">
        <v>14</v>
      </c>
    </row>
    <row r="142" customFormat="false" ht="15" hidden="false" customHeight="true" outlineLevel="0" collapsed="false">
      <c r="A142" s="8" t="n">
        <v>41194</v>
      </c>
      <c r="B142" s="2" t="s">
        <v>7</v>
      </c>
      <c r="C142" s="2" t="s">
        <v>15</v>
      </c>
    </row>
    <row r="143" customFormat="false" ht="15" hidden="false" customHeight="true" outlineLevel="0" collapsed="false">
      <c r="A143" s="8" t="n">
        <v>41215</v>
      </c>
      <c r="B143" s="2" t="s">
        <v>7</v>
      </c>
      <c r="C143" s="2" t="s">
        <v>16</v>
      </c>
    </row>
    <row r="144" customFormat="false" ht="15" hidden="false" customHeight="true" outlineLevel="0" collapsed="false">
      <c r="A144" s="8" t="n">
        <v>41228</v>
      </c>
      <c r="B144" s="2" t="s">
        <v>12</v>
      </c>
      <c r="C144" s="2" t="s">
        <v>17</v>
      </c>
    </row>
    <row r="145" customFormat="false" ht="15" hidden="false" customHeight="true" outlineLevel="0" collapsed="false">
      <c r="A145" s="8" t="n">
        <v>41268</v>
      </c>
      <c r="B145" s="2" t="s">
        <v>6</v>
      </c>
      <c r="C145" s="2" t="s">
        <v>18</v>
      </c>
    </row>
    <row r="146" customFormat="false" ht="15" hidden="false" customHeight="true" outlineLevel="0" collapsed="false">
      <c r="A146" s="6" t="n">
        <v>41275</v>
      </c>
      <c r="B146" s="7" t="s">
        <v>6</v>
      </c>
      <c r="C146" s="7" t="s">
        <v>4</v>
      </c>
    </row>
    <row r="147" customFormat="false" ht="15" hidden="false" customHeight="true" outlineLevel="0" collapsed="false">
      <c r="A147" s="6" t="n">
        <v>41316</v>
      </c>
      <c r="B147" s="7" t="s">
        <v>3</v>
      </c>
      <c r="C147" s="7" t="s">
        <v>5</v>
      </c>
    </row>
    <row r="148" customFormat="false" ht="15" hidden="false" customHeight="true" outlineLevel="0" collapsed="false">
      <c r="A148" s="6" t="n">
        <v>41317</v>
      </c>
      <c r="B148" s="7" t="s">
        <v>6</v>
      </c>
      <c r="C148" s="7" t="s">
        <v>5</v>
      </c>
    </row>
    <row r="149" customFormat="false" ht="15" hidden="false" customHeight="true" outlineLevel="0" collapsed="false">
      <c r="A149" s="6" t="n">
        <v>41362</v>
      </c>
      <c r="B149" s="7" t="s">
        <v>7</v>
      </c>
      <c r="C149" s="7" t="s">
        <v>8</v>
      </c>
    </row>
    <row r="150" customFormat="false" ht="15" hidden="false" customHeight="true" outlineLevel="0" collapsed="false">
      <c r="A150" s="6" t="n">
        <v>41385</v>
      </c>
      <c r="B150" s="7" t="s">
        <v>19</v>
      </c>
      <c r="C150" s="7" t="s">
        <v>10</v>
      </c>
    </row>
    <row r="151" customFormat="false" ht="15" hidden="false" customHeight="true" outlineLevel="0" collapsed="false">
      <c r="A151" s="6" t="n">
        <v>41395</v>
      </c>
      <c r="B151" s="7" t="s">
        <v>20</v>
      </c>
      <c r="C151" s="7" t="s">
        <v>11</v>
      </c>
    </row>
    <row r="152" customFormat="false" ht="15" hidden="false" customHeight="true" outlineLevel="0" collapsed="false">
      <c r="A152" s="6" t="n">
        <v>41424</v>
      </c>
      <c r="B152" s="7" t="s">
        <v>12</v>
      </c>
      <c r="C152" s="7" t="s">
        <v>13</v>
      </c>
    </row>
    <row r="153" customFormat="false" ht="15" hidden="false" customHeight="true" outlineLevel="0" collapsed="false">
      <c r="A153" s="6" t="n">
        <v>41524</v>
      </c>
      <c r="B153" s="7" t="s">
        <v>9</v>
      </c>
      <c r="C153" s="7" t="s">
        <v>14</v>
      </c>
    </row>
    <row r="154" customFormat="false" ht="15" hidden="false" customHeight="true" outlineLevel="0" collapsed="false">
      <c r="A154" s="6" t="n">
        <v>41559</v>
      </c>
      <c r="B154" s="7" t="s">
        <v>9</v>
      </c>
      <c r="C154" s="7" t="s">
        <v>15</v>
      </c>
    </row>
    <row r="155" customFormat="false" ht="15" hidden="false" customHeight="true" outlineLevel="0" collapsed="false">
      <c r="A155" s="6" t="n">
        <v>41580</v>
      </c>
      <c r="B155" s="7" t="s">
        <v>9</v>
      </c>
      <c r="C155" s="7" t="s">
        <v>16</v>
      </c>
    </row>
    <row r="156" customFormat="false" ht="15" hidden="false" customHeight="true" outlineLevel="0" collapsed="false">
      <c r="A156" s="6" t="n">
        <v>41593</v>
      </c>
      <c r="B156" s="7" t="s">
        <v>7</v>
      </c>
      <c r="C156" s="7" t="s">
        <v>17</v>
      </c>
    </row>
    <row r="157" customFormat="false" ht="15" hidden="false" customHeight="true" outlineLevel="0" collapsed="false">
      <c r="A157" s="6" t="n">
        <v>41633</v>
      </c>
      <c r="B157" s="7" t="s">
        <v>20</v>
      </c>
      <c r="C157" s="7" t="s">
        <v>18</v>
      </c>
    </row>
    <row r="158" customFormat="false" ht="15" hidden="false" customHeight="true" outlineLevel="0" collapsed="false">
      <c r="A158" s="8" t="n">
        <v>41640</v>
      </c>
      <c r="B158" s="2" t="s">
        <v>20</v>
      </c>
      <c r="C158" s="2" t="s">
        <v>4</v>
      </c>
    </row>
    <row r="159" customFormat="false" ht="15" hidden="false" customHeight="true" outlineLevel="0" collapsed="false">
      <c r="A159" s="8" t="n">
        <v>41701</v>
      </c>
      <c r="B159" s="2" t="s">
        <v>3</v>
      </c>
      <c r="C159" s="2" t="s">
        <v>5</v>
      </c>
    </row>
    <row r="160" customFormat="false" ht="15" hidden="false" customHeight="true" outlineLevel="0" collapsed="false">
      <c r="A160" s="8" t="n">
        <v>41702</v>
      </c>
      <c r="B160" s="2" t="s">
        <v>6</v>
      </c>
      <c r="C160" s="2" t="s">
        <v>5</v>
      </c>
    </row>
    <row r="161" customFormat="false" ht="15" hidden="false" customHeight="true" outlineLevel="0" collapsed="false">
      <c r="A161" s="8" t="n">
        <v>41747</v>
      </c>
      <c r="B161" s="2" t="s">
        <v>7</v>
      </c>
      <c r="C161" s="2" t="s">
        <v>8</v>
      </c>
    </row>
    <row r="162" customFormat="false" ht="15" hidden="false" customHeight="true" outlineLevel="0" collapsed="false">
      <c r="A162" s="8" t="n">
        <v>41750</v>
      </c>
      <c r="B162" s="2" t="s">
        <v>3</v>
      </c>
      <c r="C162" s="2" t="s">
        <v>10</v>
      </c>
    </row>
    <row r="163" customFormat="false" ht="15" hidden="false" customHeight="true" outlineLevel="0" collapsed="false">
      <c r="A163" s="8" t="n">
        <v>41760</v>
      </c>
      <c r="B163" s="2" t="s">
        <v>12</v>
      </c>
      <c r="C163" s="2" t="s">
        <v>11</v>
      </c>
    </row>
    <row r="164" customFormat="false" ht="15" hidden="false" customHeight="true" outlineLevel="0" collapsed="false">
      <c r="A164" s="8" t="n">
        <v>41809</v>
      </c>
      <c r="B164" s="2" t="s">
        <v>12</v>
      </c>
      <c r="C164" s="2" t="s">
        <v>13</v>
      </c>
    </row>
    <row r="165" customFormat="false" ht="15" hidden="false" customHeight="true" outlineLevel="0" collapsed="false">
      <c r="A165" s="8" t="n">
        <v>41889</v>
      </c>
      <c r="B165" s="2" t="s">
        <v>19</v>
      </c>
      <c r="C165" s="2" t="s">
        <v>14</v>
      </c>
    </row>
    <row r="166" customFormat="false" ht="15" hidden="false" customHeight="true" outlineLevel="0" collapsed="false">
      <c r="A166" s="8" t="n">
        <v>41924</v>
      </c>
      <c r="B166" s="2" t="s">
        <v>19</v>
      </c>
      <c r="C166" s="2" t="s">
        <v>15</v>
      </c>
    </row>
    <row r="167" customFormat="false" ht="15" hidden="false" customHeight="true" outlineLevel="0" collapsed="false">
      <c r="A167" s="8" t="n">
        <v>41945</v>
      </c>
      <c r="B167" s="2" t="s">
        <v>19</v>
      </c>
      <c r="C167" s="2" t="s">
        <v>16</v>
      </c>
    </row>
    <row r="168" customFormat="false" ht="15" hidden="false" customHeight="true" outlineLevel="0" collapsed="false">
      <c r="A168" s="8" t="n">
        <v>41958</v>
      </c>
      <c r="B168" s="2" t="s">
        <v>9</v>
      </c>
      <c r="C168" s="2" t="s">
        <v>17</v>
      </c>
    </row>
    <row r="169" customFormat="false" ht="15" hidden="false" customHeight="true" outlineLevel="0" collapsed="false">
      <c r="A169" s="8" t="n">
        <v>41998</v>
      </c>
      <c r="B169" s="2" t="s">
        <v>12</v>
      </c>
      <c r="C169" s="2" t="s">
        <v>18</v>
      </c>
    </row>
    <row r="170" customFormat="false" ht="15" hidden="false" customHeight="true" outlineLevel="0" collapsed="false">
      <c r="A170" s="6" t="n">
        <v>42005</v>
      </c>
      <c r="B170" s="7" t="s">
        <v>12</v>
      </c>
      <c r="C170" s="7" t="s">
        <v>4</v>
      </c>
    </row>
    <row r="171" customFormat="false" ht="15" hidden="false" customHeight="true" outlineLevel="0" collapsed="false">
      <c r="A171" s="6" t="n">
        <v>42051</v>
      </c>
      <c r="B171" s="7" t="s">
        <v>3</v>
      </c>
      <c r="C171" s="7" t="s">
        <v>5</v>
      </c>
    </row>
    <row r="172" customFormat="false" ht="15" hidden="false" customHeight="true" outlineLevel="0" collapsed="false">
      <c r="A172" s="6" t="n">
        <v>42052</v>
      </c>
      <c r="B172" s="7" t="s">
        <v>6</v>
      </c>
      <c r="C172" s="7" t="s">
        <v>5</v>
      </c>
    </row>
    <row r="173" customFormat="false" ht="15" hidden="false" customHeight="true" outlineLevel="0" collapsed="false">
      <c r="A173" s="6" t="n">
        <v>42097</v>
      </c>
      <c r="B173" s="7" t="s">
        <v>7</v>
      </c>
      <c r="C173" s="7" t="s">
        <v>8</v>
      </c>
    </row>
    <row r="174" customFormat="false" ht="15" hidden="false" customHeight="true" outlineLevel="0" collapsed="false">
      <c r="A174" s="6" t="n">
        <v>42115</v>
      </c>
      <c r="B174" s="7" t="s">
        <v>6</v>
      </c>
      <c r="C174" s="7" t="s">
        <v>10</v>
      </c>
    </row>
    <row r="175" customFormat="false" ht="15" hidden="false" customHeight="true" outlineLevel="0" collapsed="false">
      <c r="A175" s="6" t="n">
        <v>42125</v>
      </c>
      <c r="B175" s="7" t="s">
        <v>7</v>
      </c>
      <c r="C175" s="7" t="s">
        <v>11</v>
      </c>
    </row>
    <row r="176" customFormat="false" ht="15" hidden="false" customHeight="true" outlineLevel="0" collapsed="false">
      <c r="A176" s="6" t="n">
        <v>42159</v>
      </c>
      <c r="B176" s="7" t="s">
        <v>12</v>
      </c>
      <c r="C176" s="7" t="s">
        <v>13</v>
      </c>
    </row>
    <row r="177" customFormat="false" ht="15" hidden="false" customHeight="true" outlineLevel="0" collapsed="false">
      <c r="A177" s="6" t="n">
        <v>42254</v>
      </c>
      <c r="B177" s="7" t="s">
        <v>3</v>
      </c>
      <c r="C177" s="7" t="s">
        <v>14</v>
      </c>
    </row>
    <row r="178" customFormat="false" ht="15" hidden="false" customHeight="true" outlineLevel="0" collapsed="false">
      <c r="A178" s="6" t="n">
        <v>42289</v>
      </c>
      <c r="B178" s="7" t="s">
        <v>3</v>
      </c>
      <c r="C178" s="7" t="s">
        <v>15</v>
      </c>
    </row>
    <row r="179" customFormat="false" ht="15" hidden="false" customHeight="true" outlineLevel="0" collapsed="false">
      <c r="A179" s="6" t="n">
        <v>42310</v>
      </c>
      <c r="B179" s="7" t="s">
        <v>3</v>
      </c>
      <c r="C179" s="7" t="s">
        <v>16</v>
      </c>
    </row>
    <row r="180" customFormat="false" ht="15" hidden="false" customHeight="true" outlineLevel="0" collapsed="false">
      <c r="A180" s="6" t="n">
        <v>42323</v>
      </c>
      <c r="B180" s="7" t="s">
        <v>19</v>
      </c>
      <c r="C180" s="7" t="s">
        <v>17</v>
      </c>
    </row>
    <row r="181" customFormat="false" ht="15" hidden="false" customHeight="true" outlineLevel="0" collapsed="false">
      <c r="A181" s="6" t="n">
        <v>42363</v>
      </c>
      <c r="B181" s="7" t="s">
        <v>7</v>
      </c>
      <c r="C181" s="7" t="s">
        <v>18</v>
      </c>
    </row>
    <row r="182" customFormat="false" ht="15" hidden="false" customHeight="true" outlineLevel="0" collapsed="false">
      <c r="A182" s="8" t="n">
        <v>42370</v>
      </c>
      <c r="B182" s="2" t="s">
        <v>7</v>
      </c>
      <c r="C182" s="2" t="s">
        <v>4</v>
      </c>
    </row>
    <row r="183" customFormat="false" ht="15" hidden="false" customHeight="true" outlineLevel="0" collapsed="false">
      <c r="A183" s="8" t="n">
        <v>42408</v>
      </c>
      <c r="B183" s="2" t="s">
        <v>3</v>
      </c>
      <c r="C183" s="2" t="s">
        <v>5</v>
      </c>
    </row>
    <row r="184" customFormat="false" ht="15" hidden="false" customHeight="true" outlineLevel="0" collapsed="false">
      <c r="A184" s="8" t="n">
        <v>42409</v>
      </c>
      <c r="B184" s="2" t="s">
        <v>6</v>
      </c>
      <c r="C184" s="2" t="s">
        <v>5</v>
      </c>
    </row>
    <row r="185" customFormat="false" ht="15" hidden="false" customHeight="true" outlineLevel="0" collapsed="false">
      <c r="A185" s="8" t="n">
        <v>42454</v>
      </c>
      <c r="B185" s="2" t="s">
        <v>7</v>
      </c>
      <c r="C185" s="2" t="s">
        <v>8</v>
      </c>
    </row>
    <row r="186" customFormat="false" ht="15" hidden="false" customHeight="true" outlineLevel="0" collapsed="false">
      <c r="A186" s="8" t="n">
        <v>42481</v>
      </c>
      <c r="B186" s="2" t="s">
        <v>12</v>
      </c>
      <c r="C186" s="2" t="s">
        <v>10</v>
      </c>
    </row>
    <row r="187" customFormat="false" ht="15" hidden="false" customHeight="true" outlineLevel="0" collapsed="false">
      <c r="A187" s="8" t="n">
        <v>42491</v>
      </c>
      <c r="B187" s="2" t="s">
        <v>19</v>
      </c>
      <c r="C187" s="2" t="s">
        <v>11</v>
      </c>
    </row>
    <row r="188" customFormat="false" ht="15" hidden="false" customHeight="true" outlineLevel="0" collapsed="false">
      <c r="A188" s="8" t="n">
        <v>42516</v>
      </c>
      <c r="B188" s="2" t="s">
        <v>12</v>
      </c>
      <c r="C188" s="2" t="s">
        <v>13</v>
      </c>
    </row>
    <row r="189" customFormat="false" ht="15" hidden="false" customHeight="true" outlineLevel="0" collapsed="false">
      <c r="A189" s="8" t="n">
        <v>42620</v>
      </c>
      <c r="B189" s="2" t="s">
        <v>20</v>
      </c>
      <c r="C189" s="2" t="s">
        <v>14</v>
      </c>
    </row>
    <row r="190" customFormat="false" ht="15" hidden="false" customHeight="true" outlineLevel="0" collapsed="false">
      <c r="A190" s="8" t="n">
        <v>42655</v>
      </c>
      <c r="B190" s="2" t="s">
        <v>20</v>
      </c>
      <c r="C190" s="2" t="s">
        <v>15</v>
      </c>
    </row>
    <row r="191" customFormat="false" ht="15" hidden="false" customHeight="true" outlineLevel="0" collapsed="false">
      <c r="A191" s="8" t="n">
        <v>42676</v>
      </c>
      <c r="B191" s="2" t="s">
        <v>20</v>
      </c>
      <c r="C191" s="2" t="s">
        <v>16</v>
      </c>
    </row>
    <row r="192" customFormat="false" ht="15" hidden="false" customHeight="true" outlineLevel="0" collapsed="false">
      <c r="A192" s="8" t="n">
        <v>42689</v>
      </c>
      <c r="B192" s="2" t="s">
        <v>6</v>
      </c>
      <c r="C192" s="2" t="s">
        <v>17</v>
      </c>
    </row>
    <row r="193" customFormat="false" ht="15" hidden="false" customHeight="true" outlineLevel="0" collapsed="false">
      <c r="A193" s="8" t="n">
        <v>42729</v>
      </c>
      <c r="B193" s="2" t="s">
        <v>19</v>
      </c>
      <c r="C193" s="2" t="s">
        <v>18</v>
      </c>
    </row>
    <row r="194" customFormat="false" ht="15" hidden="false" customHeight="true" outlineLevel="0" collapsed="false">
      <c r="A194" s="6" t="n">
        <v>42736</v>
      </c>
      <c r="B194" s="7" t="s">
        <v>19</v>
      </c>
      <c r="C194" s="7" t="s">
        <v>4</v>
      </c>
    </row>
    <row r="195" customFormat="false" ht="15" hidden="false" customHeight="true" outlineLevel="0" collapsed="false">
      <c r="A195" s="6" t="n">
        <v>42793</v>
      </c>
      <c r="B195" s="7" t="s">
        <v>3</v>
      </c>
      <c r="C195" s="7" t="s">
        <v>5</v>
      </c>
    </row>
    <row r="196" customFormat="false" ht="15" hidden="false" customHeight="true" outlineLevel="0" collapsed="false">
      <c r="A196" s="6" t="n">
        <v>42794</v>
      </c>
      <c r="B196" s="7" t="s">
        <v>6</v>
      </c>
      <c r="C196" s="7" t="s">
        <v>5</v>
      </c>
    </row>
    <row r="197" customFormat="false" ht="15" hidden="false" customHeight="true" outlineLevel="0" collapsed="false">
      <c r="A197" s="6" t="n">
        <v>42839</v>
      </c>
      <c r="B197" s="7" t="s">
        <v>7</v>
      </c>
      <c r="C197" s="7" t="s">
        <v>8</v>
      </c>
    </row>
    <row r="198" customFormat="false" ht="15" hidden="false" customHeight="true" outlineLevel="0" collapsed="false">
      <c r="A198" s="6" t="n">
        <v>42846</v>
      </c>
      <c r="B198" s="7" t="s">
        <v>7</v>
      </c>
      <c r="C198" s="7" t="s">
        <v>10</v>
      </c>
    </row>
    <row r="199" customFormat="false" ht="15" hidden="false" customHeight="true" outlineLevel="0" collapsed="false">
      <c r="A199" s="6" t="n">
        <v>42856</v>
      </c>
      <c r="B199" s="7" t="s">
        <v>3</v>
      </c>
      <c r="C199" s="7" t="s">
        <v>11</v>
      </c>
    </row>
    <row r="200" customFormat="false" ht="15" hidden="false" customHeight="true" outlineLevel="0" collapsed="false">
      <c r="A200" s="6" t="n">
        <v>42901</v>
      </c>
      <c r="B200" s="7" t="s">
        <v>12</v>
      </c>
      <c r="C200" s="7" t="s">
        <v>13</v>
      </c>
    </row>
    <row r="201" customFormat="false" ht="15" hidden="false" customHeight="true" outlineLevel="0" collapsed="false">
      <c r="A201" s="6" t="n">
        <v>42985</v>
      </c>
      <c r="B201" s="7" t="s">
        <v>12</v>
      </c>
      <c r="C201" s="7" t="s">
        <v>14</v>
      </c>
    </row>
    <row r="202" customFormat="false" ht="15" hidden="false" customHeight="true" outlineLevel="0" collapsed="false">
      <c r="A202" s="6" t="n">
        <v>43020</v>
      </c>
      <c r="B202" s="7" t="s">
        <v>12</v>
      </c>
      <c r="C202" s="7" t="s">
        <v>15</v>
      </c>
    </row>
    <row r="203" customFormat="false" ht="15" hidden="false" customHeight="true" outlineLevel="0" collapsed="false">
      <c r="A203" s="6" t="n">
        <v>43041</v>
      </c>
      <c r="B203" s="7" t="s">
        <v>12</v>
      </c>
      <c r="C203" s="7" t="s">
        <v>16</v>
      </c>
    </row>
    <row r="204" customFormat="false" ht="15" hidden="false" customHeight="true" outlineLevel="0" collapsed="false">
      <c r="A204" s="6" t="n">
        <v>43054</v>
      </c>
      <c r="B204" s="7" t="s">
        <v>20</v>
      </c>
      <c r="C204" s="7" t="s">
        <v>17</v>
      </c>
    </row>
    <row r="205" customFormat="false" ht="15" hidden="false" customHeight="true" outlineLevel="0" collapsed="false">
      <c r="A205" s="6" t="n">
        <v>43094</v>
      </c>
      <c r="B205" s="7" t="s">
        <v>3</v>
      </c>
      <c r="C205" s="7" t="s">
        <v>18</v>
      </c>
    </row>
    <row r="206" customFormat="false" ht="15" hidden="false" customHeight="true" outlineLevel="0" collapsed="false">
      <c r="A206" s="8" t="n">
        <v>43101</v>
      </c>
      <c r="B206" s="2" t="s">
        <v>3</v>
      </c>
      <c r="C206" s="2" t="s">
        <v>4</v>
      </c>
    </row>
    <row r="207" customFormat="false" ht="15" hidden="false" customHeight="true" outlineLevel="0" collapsed="false">
      <c r="A207" s="8" t="n">
        <v>43143</v>
      </c>
      <c r="B207" s="2" t="s">
        <v>3</v>
      </c>
      <c r="C207" s="2" t="s">
        <v>5</v>
      </c>
    </row>
    <row r="208" customFormat="false" ht="15" hidden="false" customHeight="true" outlineLevel="0" collapsed="false">
      <c r="A208" s="8" t="n">
        <v>43144</v>
      </c>
      <c r="B208" s="2" t="s">
        <v>6</v>
      </c>
      <c r="C208" s="2" t="s">
        <v>5</v>
      </c>
    </row>
    <row r="209" customFormat="false" ht="15" hidden="false" customHeight="true" outlineLevel="0" collapsed="false">
      <c r="A209" s="8" t="n">
        <v>43189</v>
      </c>
      <c r="B209" s="2" t="s">
        <v>7</v>
      </c>
      <c r="C209" s="2" t="s">
        <v>8</v>
      </c>
    </row>
    <row r="210" customFormat="false" ht="15" hidden="false" customHeight="true" outlineLevel="0" collapsed="false">
      <c r="A210" s="8" t="n">
        <v>43211</v>
      </c>
      <c r="B210" s="2" t="s">
        <v>9</v>
      </c>
      <c r="C210" s="2" t="s">
        <v>10</v>
      </c>
    </row>
    <row r="211" customFormat="false" ht="15" hidden="false" customHeight="true" outlineLevel="0" collapsed="false">
      <c r="A211" s="8" t="n">
        <v>43221</v>
      </c>
      <c r="B211" s="2" t="s">
        <v>6</v>
      </c>
      <c r="C211" s="2" t="s">
        <v>11</v>
      </c>
    </row>
    <row r="212" customFormat="false" ht="15" hidden="false" customHeight="true" outlineLevel="0" collapsed="false">
      <c r="A212" s="8" t="n">
        <v>43251</v>
      </c>
      <c r="B212" s="2" t="s">
        <v>12</v>
      </c>
      <c r="C212" s="2" t="s">
        <v>13</v>
      </c>
    </row>
    <row r="213" customFormat="false" ht="15" hidden="false" customHeight="true" outlineLevel="0" collapsed="false">
      <c r="A213" s="8" t="n">
        <v>43350</v>
      </c>
      <c r="B213" s="2" t="s">
        <v>7</v>
      </c>
      <c r="C213" s="2" t="s">
        <v>14</v>
      </c>
    </row>
    <row r="214" customFormat="false" ht="15" hidden="false" customHeight="true" outlineLevel="0" collapsed="false">
      <c r="A214" s="8" t="n">
        <v>43385</v>
      </c>
      <c r="B214" s="2" t="s">
        <v>7</v>
      </c>
      <c r="C214" s="2" t="s">
        <v>15</v>
      </c>
    </row>
    <row r="215" customFormat="false" ht="15" hidden="false" customHeight="true" outlineLevel="0" collapsed="false">
      <c r="A215" s="8" t="n">
        <v>43406</v>
      </c>
      <c r="B215" s="2" t="s">
        <v>7</v>
      </c>
      <c r="C215" s="2" t="s">
        <v>16</v>
      </c>
    </row>
    <row r="216" customFormat="false" ht="15" hidden="false" customHeight="true" outlineLevel="0" collapsed="false">
      <c r="A216" s="8" t="n">
        <v>43419</v>
      </c>
      <c r="B216" s="2" t="s">
        <v>12</v>
      </c>
      <c r="C216" s="2" t="s">
        <v>17</v>
      </c>
    </row>
    <row r="217" customFormat="false" ht="15" hidden="false" customHeight="true" outlineLevel="0" collapsed="false">
      <c r="A217" s="8" t="n">
        <v>43459</v>
      </c>
      <c r="B217" s="2" t="s">
        <v>6</v>
      </c>
      <c r="C217" s="2" t="s">
        <v>18</v>
      </c>
    </row>
    <row r="218" customFormat="false" ht="15" hidden="false" customHeight="true" outlineLevel="0" collapsed="false">
      <c r="A218" s="6" t="n">
        <v>43466</v>
      </c>
      <c r="B218" s="7" t="s">
        <v>6</v>
      </c>
      <c r="C218" s="7" t="s">
        <v>4</v>
      </c>
    </row>
    <row r="219" customFormat="false" ht="15" hidden="false" customHeight="true" outlineLevel="0" collapsed="false">
      <c r="A219" s="6" t="n">
        <v>43528</v>
      </c>
      <c r="B219" s="7" t="s">
        <v>3</v>
      </c>
      <c r="C219" s="7" t="s">
        <v>5</v>
      </c>
    </row>
    <row r="220" customFormat="false" ht="15" hidden="false" customHeight="true" outlineLevel="0" collapsed="false">
      <c r="A220" s="6" t="n">
        <v>43529</v>
      </c>
      <c r="B220" s="7" t="s">
        <v>6</v>
      </c>
      <c r="C220" s="7" t="s">
        <v>5</v>
      </c>
    </row>
    <row r="221" customFormat="false" ht="15" hidden="false" customHeight="true" outlineLevel="0" collapsed="false">
      <c r="A221" s="6" t="n">
        <v>43574</v>
      </c>
      <c r="B221" s="7" t="s">
        <v>7</v>
      </c>
      <c r="C221" s="7" t="s">
        <v>8</v>
      </c>
    </row>
    <row r="222" customFormat="false" ht="15" hidden="false" customHeight="true" outlineLevel="0" collapsed="false">
      <c r="A222" s="6" t="n">
        <v>43576</v>
      </c>
      <c r="B222" s="7" t="s">
        <v>19</v>
      </c>
      <c r="C222" s="7" t="s">
        <v>10</v>
      </c>
    </row>
    <row r="223" customFormat="false" ht="15" hidden="false" customHeight="true" outlineLevel="0" collapsed="false">
      <c r="A223" s="6" t="n">
        <v>43586</v>
      </c>
      <c r="B223" s="7" t="s">
        <v>20</v>
      </c>
      <c r="C223" s="7" t="s">
        <v>11</v>
      </c>
    </row>
    <row r="224" customFormat="false" ht="15" hidden="false" customHeight="true" outlineLevel="0" collapsed="false">
      <c r="A224" s="6" t="n">
        <v>43636</v>
      </c>
      <c r="B224" s="7" t="s">
        <v>12</v>
      </c>
      <c r="C224" s="7" t="s">
        <v>13</v>
      </c>
    </row>
    <row r="225" customFormat="false" ht="15" hidden="false" customHeight="true" outlineLevel="0" collapsed="false">
      <c r="A225" s="6" t="n">
        <v>43715</v>
      </c>
      <c r="B225" s="7" t="s">
        <v>9</v>
      </c>
      <c r="C225" s="7" t="s">
        <v>14</v>
      </c>
    </row>
    <row r="226" customFormat="false" ht="15" hidden="false" customHeight="true" outlineLevel="0" collapsed="false">
      <c r="A226" s="6" t="n">
        <v>43750</v>
      </c>
      <c r="B226" s="7" t="s">
        <v>9</v>
      </c>
      <c r="C226" s="7" t="s">
        <v>15</v>
      </c>
    </row>
    <row r="227" customFormat="false" ht="15" hidden="false" customHeight="true" outlineLevel="0" collapsed="false">
      <c r="A227" s="6" t="n">
        <v>43771</v>
      </c>
      <c r="B227" s="7" t="s">
        <v>9</v>
      </c>
      <c r="C227" s="7" t="s">
        <v>16</v>
      </c>
    </row>
    <row r="228" customFormat="false" ht="15" hidden="false" customHeight="true" outlineLevel="0" collapsed="false">
      <c r="A228" s="6" t="n">
        <v>43784</v>
      </c>
      <c r="B228" s="7" t="s">
        <v>7</v>
      </c>
      <c r="C228" s="7" t="s">
        <v>17</v>
      </c>
    </row>
    <row r="229" customFormat="false" ht="15" hidden="false" customHeight="true" outlineLevel="0" collapsed="false">
      <c r="A229" s="6" t="n">
        <v>43824</v>
      </c>
      <c r="B229" s="7" t="s">
        <v>20</v>
      </c>
      <c r="C229" s="7" t="s">
        <v>18</v>
      </c>
    </row>
    <row r="230" customFormat="false" ht="15" hidden="false" customHeight="true" outlineLevel="0" collapsed="false">
      <c r="A230" s="8" t="n">
        <v>43831</v>
      </c>
      <c r="B230" s="2" t="s">
        <v>20</v>
      </c>
      <c r="C230" s="2" t="s">
        <v>4</v>
      </c>
    </row>
    <row r="231" customFormat="false" ht="15" hidden="false" customHeight="true" outlineLevel="0" collapsed="false">
      <c r="A231" s="8" t="n">
        <v>43885</v>
      </c>
      <c r="B231" s="2" t="s">
        <v>3</v>
      </c>
      <c r="C231" s="2" t="s">
        <v>5</v>
      </c>
    </row>
    <row r="232" customFormat="false" ht="15" hidden="false" customHeight="true" outlineLevel="0" collapsed="false">
      <c r="A232" s="8" t="n">
        <v>43886</v>
      </c>
      <c r="B232" s="2" t="s">
        <v>6</v>
      </c>
      <c r="C232" s="2" t="s">
        <v>5</v>
      </c>
    </row>
    <row r="233" customFormat="false" ht="15" hidden="false" customHeight="true" outlineLevel="0" collapsed="false">
      <c r="A233" s="8" t="n">
        <v>43931</v>
      </c>
      <c r="B233" s="2" t="s">
        <v>7</v>
      </c>
      <c r="C233" s="2" t="s">
        <v>8</v>
      </c>
    </row>
    <row r="234" customFormat="false" ht="15" hidden="false" customHeight="true" outlineLevel="0" collapsed="false">
      <c r="A234" s="8" t="n">
        <v>43942</v>
      </c>
      <c r="B234" s="2" t="s">
        <v>6</v>
      </c>
      <c r="C234" s="2" t="s">
        <v>10</v>
      </c>
    </row>
    <row r="235" customFormat="false" ht="15" hidden="false" customHeight="true" outlineLevel="0" collapsed="false">
      <c r="A235" s="8" t="n">
        <v>43952</v>
      </c>
      <c r="B235" s="2" t="s">
        <v>7</v>
      </c>
      <c r="C235" s="2" t="s">
        <v>11</v>
      </c>
    </row>
    <row r="236" customFormat="false" ht="15" hidden="false" customHeight="true" outlineLevel="0" collapsed="false">
      <c r="A236" s="8" t="n">
        <v>43993</v>
      </c>
      <c r="B236" s="2" t="s">
        <v>12</v>
      </c>
      <c r="C236" s="2" t="s">
        <v>13</v>
      </c>
    </row>
    <row r="237" customFormat="false" ht="15" hidden="false" customHeight="true" outlineLevel="0" collapsed="false">
      <c r="A237" s="8" t="n">
        <v>44081</v>
      </c>
      <c r="B237" s="2" t="s">
        <v>3</v>
      </c>
      <c r="C237" s="2" t="s">
        <v>14</v>
      </c>
    </row>
    <row r="238" customFormat="false" ht="15" hidden="false" customHeight="true" outlineLevel="0" collapsed="false">
      <c r="A238" s="8" t="n">
        <v>44116</v>
      </c>
      <c r="B238" s="2" t="s">
        <v>3</v>
      </c>
      <c r="C238" s="2" t="s">
        <v>15</v>
      </c>
    </row>
    <row r="239" customFormat="false" ht="15" hidden="false" customHeight="true" outlineLevel="0" collapsed="false">
      <c r="A239" s="8" t="n">
        <v>44137</v>
      </c>
      <c r="B239" s="2" t="s">
        <v>3</v>
      </c>
      <c r="C239" s="2" t="s">
        <v>16</v>
      </c>
    </row>
    <row r="240" customFormat="false" ht="15" hidden="false" customHeight="true" outlineLevel="0" collapsed="false">
      <c r="A240" s="8" t="n">
        <v>44150</v>
      </c>
      <c r="B240" s="2" t="s">
        <v>19</v>
      </c>
      <c r="C240" s="2" t="s">
        <v>17</v>
      </c>
    </row>
    <row r="241" customFormat="false" ht="15" hidden="false" customHeight="true" outlineLevel="0" collapsed="false">
      <c r="A241" s="8" t="n">
        <v>44190</v>
      </c>
      <c r="B241" s="2" t="s">
        <v>7</v>
      </c>
      <c r="C241" s="2" t="s">
        <v>18</v>
      </c>
    </row>
    <row r="242" customFormat="false" ht="15" hidden="false" customHeight="true" outlineLevel="0" collapsed="false">
      <c r="A242" s="6" t="n">
        <v>44197</v>
      </c>
      <c r="B242" s="7" t="s">
        <v>7</v>
      </c>
      <c r="C242" s="7" t="s">
        <v>4</v>
      </c>
    </row>
    <row r="243" customFormat="false" ht="15" hidden="false" customHeight="true" outlineLevel="0" collapsed="false">
      <c r="A243" s="6" t="n">
        <v>44242</v>
      </c>
      <c r="B243" s="7" t="s">
        <v>3</v>
      </c>
      <c r="C243" s="7" t="s">
        <v>5</v>
      </c>
    </row>
    <row r="244" customFormat="false" ht="15" hidden="false" customHeight="true" outlineLevel="0" collapsed="false">
      <c r="A244" s="6" t="n">
        <v>44243</v>
      </c>
      <c r="B244" s="7" t="s">
        <v>6</v>
      </c>
      <c r="C244" s="7" t="s">
        <v>5</v>
      </c>
    </row>
    <row r="245" customFormat="false" ht="15" hidden="false" customHeight="true" outlineLevel="0" collapsed="false">
      <c r="A245" s="6" t="n">
        <v>44288</v>
      </c>
      <c r="B245" s="7" t="s">
        <v>7</v>
      </c>
      <c r="C245" s="7" t="s">
        <v>8</v>
      </c>
    </row>
    <row r="246" customFormat="false" ht="15" hidden="false" customHeight="true" outlineLevel="0" collapsed="false">
      <c r="A246" s="6" t="n">
        <v>44307</v>
      </c>
      <c r="B246" s="7" t="s">
        <v>20</v>
      </c>
      <c r="C246" s="7" t="s">
        <v>10</v>
      </c>
    </row>
    <row r="247" customFormat="false" ht="15" hidden="false" customHeight="true" outlineLevel="0" collapsed="false">
      <c r="A247" s="6" t="n">
        <v>44317</v>
      </c>
      <c r="B247" s="7" t="s">
        <v>9</v>
      </c>
      <c r="C247" s="7" t="s">
        <v>11</v>
      </c>
    </row>
    <row r="248" customFormat="false" ht="15" hidden="false" customHeight="true" outlineLevel="0" collapsed="false">
      <c r="A248" s="6" t="n">
        <v>44350</v>
      </c>
      <c r="B248" s="7" t="s">
        <v>12</v>
      </c>
      <c r="C248" s="7" t="s">
        <v>13</v>
      </c>
    </row>
    <row r="249" customFormat="false" ht="15" hidden="false" customHeight="true" outlineLevel="0" collapsed="false">
      <c r="A249" s="6" t="n">
        <v>44446</v>
      </c>
      <c r="B249" s="7" t="s">
        <v>6</v>
      </c>
      <c r="C249" s="7" t="s">
        <v>14</v>
      </c>
    </row>
    <row r="250" customFormat="false" ht="15" hidden="false" customHeight="true" outlineLevel="0" collapsed="false">
      <c r="A250" s="6" t="n">
        <v>44481</v>
      </c>
      <c r="B250" s="7" t="s">
        <v>6</v>
      </c>
      <c r="C250" s="7" t="s">
        <v>15</v>
      </c>
    </row>
    <row r="251" customFormat="false" ht="15" hidden="false" customHeight="true" outlineLevel="0" collapsed="false">
      <c r="A251" s="6" t="n">
        <v>44502</v>
      </c>
      <c r="B251" s="7" t="s">
        <v>6</v>
      </c>
      <c r="C251" s="7" t="s">
        <v>16</v>
      </c>
    </row>
    <row r="252" customFormat="false" ht="15" hidden="false" customHeight="true" outlineLevel="0" collapsed="false">
      <c r="A252" s="6" t="n">
        <v>44515</v>
      </c>
      <c r="B252" s="7" t="s">
        <v>3</v>
      </c>
      <c r="C252" s="7" t="s">
        <v>17</v>
      </c>
    </row>
    <row r="253" customFormat="false" ht="15" hidden="false" customHeight="true" outlineLevel="0" collapsed="false">
      <c r="A253" s="6" t="n">
        <v>44555</v>
      </c>
      <c r="B253" s="7" t="s">
        <v>9</v>
      </c>
      <c r="C253" s="7" t="s">
        <v>18</v>
      </c>
    </row>
    <row r="254" customFormat="false" ht="15" hidden="false" customHeight="true" outlineLevel="0" collapsed="false">
      <c r="A254" s="8" t="n">
        <v>44562</v>
      </c>
      <c r="B254" s="2" t="s">
        <v>9</v>
      </c>
      <c r="C254" s="2" t="s">
        <v>4</v>
      </c>
    </row>
    <row r="255" customFormat="false" ht="15" hidden="false" customHeight="true" outlineLevel="0" collapsed="false">
      <c r="A255" s="8" t="n">
        <v>44620</v>
      </c>
      <c r="B255" s="2" t="s">
        <v>3</v>
      </c>
      <c r="C255" s="2" t="s">
        <v>5</v>
      </c>
    </row>
    <row r="256" customFormat="false" ht="15" hidden="false" customHeight="true" outlineLevel="0" collapsed="false">
      <c r="A256" s="8" t="n">
        <v>44621</v>
      </c>
      <c r="B256" s="2" t="s">
        <v>6</v>
      </c>
      <c r="C256" s="2" t="s">
        <v>5</v>
      </c>
    </row>
    <row r="257" customFormat="false" ht="15" hidden="false" customHeight="true" outlineLevel="0" collapsed="false">
      <c r="A257" s="8" t="n">
        <v>44666</v>
      </c>
      <c r="B257" s="2" t="s">
        <v>7</v>
      </c>
      <c r="C257" s="2" t="s">
        <v>8</v>
      </c>
    </row>
    <row r="258" customFormat="false" ht="15" hidden="false" customHeight="true" outlineLevel="0" collapsed="false">
      <c r="A258" s="8" t="n">
        <v>44672</v>
      </c>
      <c r="B258" s="2" t="s">
        <v>12</v>
      </c>
      <c r="C258" s="2" t="s">
        <v>10</v>
      </c>
    </row>
    <row r="259" customFormat="false" ht="15" hidden="false" customHeight="true" outlineLevel="0" collapsed="false">
      <c r="A259" s="8" t="n">
        <v>44682</v>
      </c>
      <c r="B259" s="2" t="s">
        <v>19</v>
      </c>
      <c r="C259" s="2" t="s">
        <v>11</v>
      </c>
    </row>
    <row r="260" customFormat="false" ht="15" hidden="false" customHeight="true" outlineLevel="0" collapsed="false">
      <c r="A260" s="8" t="n">
        <v>44728</v>
      </c>
      <c r="B260" s="2" t="s">
        <v>12</v>
      </c>
      <c r="C260" s="2" t="s">
        <v>13</v>
      </c>
    </row>
    <row r="261" customFormat="false" ht="15" hidden="false" customHeight="true" outlineLevel="0" collapsed="false">
      <c r="A261" s="8" t="n">
        <v>44811</v>
      </c>
      <c r="B261" s="2" t="s">
        <v>20</v>
      </c>
      <c r="C261" s="2" t="s">
        <v>14</v>
      </c>
    </row>
    <row r="262" customFormat="false" ht="15" hidden="false" customHeight="true" outlineLevel="0" collapsed="false">
      <c r="A262" s="8" t="n">
        <v>44846</v>
      </c>
      <c r="B262" s="2" t="s">
        <v>20</v>
      </c>
      <c r="C262" s="2" t="s">
        <v>15</v>
      </c>
    </row>
    <row r="263" customFormat="false" ht="15" hidden="false" customHeight="true" outlineLevel="0" collapsed="false">
      <c r="A263" s="8" t="n">
        <v>44867</v>
      </c>
      <c r="B263" s="2" t="s">
        <v>20</v>
      </c>
      <c r="C263" s="2" t="s">
        <v>16</v>
      </c>
    </row>
    <row r="264" customFormat="false" ht="15" hidden="false" customHeight="true" outlineLevel="0" collapsed="false">
      <c r="A264" s="8" t="n">
        <v>44880</v>
      </c>
      <c r="B264" s="2" t="s">
        <v>6</v>
      </c>
      <c r="C264" s="2" t="s">
        <v>17</v>
      </c>
    </row>
    <row r="265" customFormat="false" ht="15" hidden="false" customHeight="true" outlineLevel="0" collapsed="false">
      <c r="A265" s="8" t="n">
        <v>44920</v>
      </c>
      <c r="B265" s="2" t="s">
        <v>19</v>
      </c>
      <c r="C265" s="2" t="s">
        <v>18</v>
      </c>
    </row>
    <row r="266" customFormat="false" ht="15" hidden="false" customHeight="true" outlineLevel="0" collapsed="false">
      <c r="A266" s="6" t="n">
        <v>44927</v>
      </c>
      <c r="B266" s="7" t="s">
        <v>19</v>
      </c>
      <c r="C266" s="7" t="s">
        <v>4</v>
      </c>
    </row>
    <row r="267" customFormat="false" ht="15" hidden="false" customHeight="true" outlineLevel="0" collapsed="false">
      <c r="A267" s="6" t="n">
        <v>44977</v>
      </c>
      <c r="B267" s="7" t="s">
        <v>3</v>
      </c>
      <c r="C267" s="7" t="s">
        <v>5</v>
      </c>
    </row>
    <row r="268" customFormat="false" ht="15" hidden="false" customHeight="true" outlineLevel="0" collapsed="false">
      <c r="A268" s="6" t="n">
        <v>44978</v>
      </c>
      <c r="B268" s="7" t="s">
        <v>6</v>
      </c>
      <c r="C268" s="7" t="s">
        <v>5</v>
      </c>
    </row>
    <row r="269" customFormat="false" ht="15" hidden="false" customHeight="true" outlineLevel="0" collapsed="false">
      <c r="A269" s="6" t="n">
        <v>45023</v>
      </c>
      <c r="B269" s="7" t="s">
        <v>7</v>
      </c>
      <c r="C269" s="7" t="s">
        <v>8</v>
      </c>
    </row>
    <row r="270" customFormat="false" ht="15" hidden="false" customHeight="true" outlineLevel="0" collapsed="false">
      <c r="A270" s="6" t="n">
        <v>45037</v>
      </c>
      <c r="B270" s="7" t="s">
        <v>7</v>
      </c>
      <c r="C270" s="7" t="s">
        <v>10</v>
      </c>
    </row>
    <row r="271" customFormat="false" ht="15" hidden="false" customHeight="true" outlineLevel="0" collapsed="false">
      <c r="A271" s="6" t="n">
        <v>45047</v>
      </c>
      <c r="B271" s="7" t="s">
        <v>3</v>
      </c>
      <c r="C271" s="7" t="s">
        <v>11</v>
      </c>
    </row>
    <row r="272" customFormat="false" ht="15" hidden="false" customHeight="true" outlineLevel="0" collapsed="false">
      <c r="A272" s="6" t="n">
        <v>45085</v>
      </c>
      <c r="B272" s="7" t="s">
        <v>12</v>
      </c>
      <c r="C272" s="7" t="s">
        <v>13</v>
      </c>
    </row>
    <row r="273" customFormat="false" ht="15" hidden="false" customHeight="true" outlineLevel="0" collapsed="false">
      <c r="A273" s="6" t="n">
        <v>45176</v>
      </c>
      <c r="B273" s="7" t="s">
        <v>12</v>
      </c>
      <c r="C273" s="7" t="s">
        <v>14</v>
      </c>
    </row>
    <row r="274" customFormat="false" ht="15" hidden="false" customHeight="true" outlineLevel="0" collapsed="false">
      <c r="A274" s="6" t="n">
        <v>45211</v>
      </c>
      <c r="B274" s="7" t="s">
        <v>12</v>
      </c>
      <c r="C274" s="7" t="s">
        <v>15</v>
      </c>
    </row>
    <row r="275" customFormat="false" ht="15" hidden="false" customHeight="true" outlineLevel="0" collapsed="false">
      <c r="A275" s="6" t="n">
        <v>45232</v>
      </c>
      <c r="B275" s="7" t="s">
        <v>12</v>
      </c>
      <c r="C275" s="7" t="s">
        <v>16</v>
      </c>
    </row>
    <row r="276" customFormat="false" ht="15" hidden="false" customHeight="true" outlineLevel="0" collapsed="false">
      <c r="A276" s="6" t="n">
        <v>45245</v>
      </c>
      <c r="B276" s="7" t="s">
        <v>20</v>
      </c>
      <c r="C276" s="7" t="s">
        <v>17</v>
      </c>
    </row>
    <row r="277" customFormat="false" ht="15" hidden="false" customHeight="true" outlineLevel="0" collapsed="false">
      <c r="A277" s="6" t="n">
        <v>45285</v>
      </c>
      <c r="B277" s="7" t="s">
        <v>3</v>
      </c>
      <c r="C277" s="7" t="s">
        <v>18</v>
      </c>
    </row>
    <row r="278" customFormat="false" ht="15" hidden="false" customHeight="true" outlineLevel="0" collapsed="false">
      <c r="A278" s="8" t="n">
        <v>45292</v>
      </c>
      <c r="B278" s="2" t="s">
        <v>3</v>
      </c>
      <c r="C278" s="2" t="s">
        <v>4</v>
      </c>
    </row>
    <row r="279" customFormat="false" ht="15" hidden="false" customHeight="true" outlineLevel="0" collapsed="false">
      <c r="A279" s="8" t="n">
        <v>45334</v>
      </c>
      <c r="B279" s="2" t="s">
        <v>3</v>
      </c>
      <c r="C279" s="2" t="s">
        <v>5</v>
      </c>
    </row>
    <row r="280" customFormat="false" ht="15" hidden="false" customHeight="true" outlineLevel="0" collapsed="false">
      <c r="A280" s="8" t="n">
        <v>45335</v>
      </c>
      <c r="B280" s="2" t="s">
        <v>6</v>
      </c>
      <c r="C280" s="2" t="s">
        <v>5</v>
      </c>
    </row>
    <row r="281" customFormat="false" ht="15" hidden="false" customHeight="true" outlineLevel="0" collapsed="false">
      <c r="A281" s="8" t="n">
        <v>45380</v>
      </c>
      <c r="B281" s="2" t="s">
        <v>7</v>
      </c>
      <c r="C281" s="2" t="s">
        <v>8</v>
      </c>
    </row>
    <row r="282" customFormat="false" ht="15" hidden="false" customHeight="true" outlineLevel="0" collapsed="false">
      <c r="A282" s="8" t="n">
        <v>45403</v>
      </c>
      <c r="B282" s="2" t="s">
        <v>19</v>
      </c>
      <c r="C282" s="2" t="s">
        <v>10</v>
      </c>
    </row>
    <row r="283" customFormat="false" ht="15" hidden="false" customHeight="true" outlineLevel="0" collapsed="false">
      <c r="A283" s="8" t="n">
        <v>45413</v>
      </c>
      <c r="B283" s="2" t="s">
        <v>20</v>
      </c>
      <c r="C283" s="2" t="s">
        <v>11</v>
      </c>
    </row>
    <row r="284" customFormat="false" ht="15" hidden="false" customHeight="true" outlineLevel="0" collapsed="false">
      <c r="A284" s="8" t="n">
        <v>45442</v>
      </c>
      <c r="B284" s="2" t="s">
        <v>12</v>
      </c>
      <c r="C284" s="2" t="s">
        <v>13</v>
      </c>
    </row>
    <row r="285" customFormat="false" ht="15" hidden="false" customHeight="true" outlineLevel="0" collapsed="false">
      <c r="A285" s="8" t="n">
        <v>45542</v>
      </c>
      <c r="B285" s="2" t="s">
        <v>9</v>
      </c>
      <c r="C285" s="2" t="s">
        <v>14</v>
      </c>
    </row>
    <row r="286" customFormat="false" ht="15" hidden="false" customHeight="true" outlineLevel="0" collapsed="false">
      <c r="A286" s="8" t="n">
        <v>45577</v>
      </c>
      <c r="B286" s="2" t="s">
        <v>9</v>
      </c>
      <c r="C286" s="2" t="s">
        <v>15</v>
      </c>
    </row>
    <row r="287" customFormat="false" ht="15" hidden="false" customHeight="true" outlineLevel="0" collapsed="false">
      <c r="A287" s="8" t="n">
        <v>45598</v>
      </c>
      <c r="B287" s="2" t="s">
        <v>9</v>
      </c>
      <c r="C287" s="2" t="s">
        <v>16</v>
      </c>
    </row>
    <row r="288" customFormat="false" ht="15" hidden="false" customHeight="true" outlineLevel="0" collapsed="false">
      <c r="A288" s="8" t="n">
        <v>45611</v>
      </c>
      <c r="B288" s="2" t="s">
        <v>7</v>
      </c>
      <c r="C288" s="2" t="s">
        <v>17</v>
      </c>
    </row>
    <row r="289" customFormat="false" ht="15" hidden="false" customHeight="true" outlineLevel="0" collapsed="false">
      <c r="A289" s="8" t="n">
        <v>45616</v>
      </c>
      <c r="B289" s="2" t="s">
        <v>20</v>
      </c>
      <c r="C289" s="2" t="s">
        <v>21</v>
      </c>
      <c r="G289" s="9"/>
      <c r="K289" s="9"/>
    </row>
    <row r="290" customFormat="false" ht="15" hidden="false" customHeight="true" outlineLevel="0" collapsed="false">
      <c r="A290" s="8" t="n">
        <v>45651</v>
      </c>
      <c r="B290" s="2" t="s">
        <v>20</v>
      </c>
      <c r="C290" s="2" t="s">
        <v>18</v>
      </c>
    </row>
    <row r="291" customFormat="false" ht="15" hidden="false" customHeight="true" outlineLevel="0" collapsed="false">
      <c r="A291" s="6" t="n">
        <v>45658</v>
      </c>
      <c r="B291" s="7" t="s">
        <v>20</v>
      </c>
      <c r="C291" s="7" t="s">
        <v>4</v>
      </c>
    </row>
    <row r="292" customFormat="false" ht="15" hidden="false" customHeight="true" outlineLevel="0" collapsed="false">
      <c r="A292" s="6" t="n">
        <v>45719</v>
      </c>
      <c r="B292" s="7" t="s">
        <v>3</v>
      </c>
      <c r="C292" s="7" t="s">
        <v>5</v>
      </c>
    </row>
    <row r="293" customFormat="false" ht="15" hidden="false" customHeight="true" outlineLevel="0" collapsed="false">
      <c r="A293" s="6" t="n">
        <v>45720</v>
      </c>
      <c r="B293" s="7" t="s">
        <v>6</v>
      </c>
      <c r="C293" s="7" t="s">
        <v>5</v>
      </c>
    </row>
    <row r="294" customFormat="false" ht="15" hidden="false" customHeight="true" outlineLevel="0" collapsed="false">
      <c r="A294" s="6" t="n">
        <v>45765</v>
      </c>
      <c r="B294" s="7" t="s">
        <v>7</v>
      </c>
      <c r="C294" s="7" t="s">
        <v>8</v>
      </c>
    </row>
    <row r="295" customFormat="false" ht="15" hidden="false" customHeight="true" outlineLevel="0" collapsed="false">
      <c r="A295" s="6" t="n">
        <v>45768</v>
      </c>
      <c r="B295" s="7" t="s">
        <v>3</v>
      </c>
      <c r="C295" s="7" t="s">
        <v>10</v>
      </c>
    </row>
    <row r="296" customFormat="false" ht="15" hidden="false" customHeight="true" outlineLevel="0" collapsed="false">
      <c r="A296" s="6" t="n">
        <v>45778</v>
      </c>
      <c r="B296" s="7" t="s">
        <v>12</v>
      </c>
      <c r="C296" s="7" t="s">
        <v>11</v>
      </c>
    </row>
    <row r="297" customFormat="false" ht="15" hidden="false" customHeight="true" outlineLevel="0" collapsed="false">
      <c r="A297" s="6" t="n">
        <v>45827</v>
      </c>
      <c r="B297" s="7" t="s">
        <v>12</v>
      </c>
      <c r="C297" s="7" t="s">
        <v>13</v>
      </c>
    </row>
    <row r="298" customFormat="false" ht="15" hidden="false" customHeight="true" outlineLevel="0" collapsed="false">
      <c r="A298" s="6" t="n">
        <v>45907</v>
      </c>
      <c r="B298" s="7" t="s">
        <v>19</v>
      </c>
      <c r="C298" s="7" t="s">
        <v>14</v>
      </c>
    </row>
    <row r="299" customFormat="false" ht="15" hidden="false" customHeight="true" outlineLevel="0" collapsed="false">
      <c r="A299" s="6" t="n">
        <v>45942</v>
      </c>
      <c r="B299" s="7" t="s">
        <v>19</v>
      </c>
      <c r="C299" s="7" t="s">
        <v>15</v>
      </c>
    </row>
    <row r="300" customFormat="false" ht="15" hidden="false" customHeight="true" outlineLevel="0" collapsed="false">
      <c r="A300" s="6" t="n">
        <v>45963</v>
      </c>
      <c r="B300" s="7" t="s">
        <v>19</v>
      </c>
      <c r="C300" s="7" t="s">
        <v>16</v>
      </c>
    </row>
    <row r="301" customFormat="false" ht="15" hidden="false" customHeight="true" outlineLevel="0" collapsed="false">
      <c r="A301" s="6" t="n">
        <v>45976</v>
      </c>
      <c r="B301" s="7" t="s">
        <v>9</v>
      </c>
      <c r="C301" s="7" t="s">
        <v>17</v>
      </c>
    </row>
    <row r="302" customFormat="false" ht="15" hidden="false" customHeight="true" outlineLevel="0" collapsed="false">
      <c r="A302" s="6" t="n">
        <v>45981</v>
      </c>
      <c r="B302" s="7" t="s">
        <v>12</v>
      </c>
      <c r="C302" s="7" t="s">
        <v>21</v>
      </c>
      <c r="G302" s="9"/>
    </row>
    <row r="303" customFormat="false" ht="15" hidden="false" customHeight="true" outlineLevel="0" collapsed="false">
      <c r="A303" s="6" t="n">
        <v>46016</v>
      </c>
      <c r="B303" s="7" t="s">
        <v>12</v>
      </c>
      <c r="C303" s="7" t="s">
        <v>18</v>
      </c>
    </row>
    <row r="304" customFormat="false" ht="15" hidden="false" customHeight="true" outlineLevel="0" collapsed="false">
      <c r="A304" s="8" t="n">
        <v>46023</v>
      </c>
      <c r="B304" s="2" t="s">
        <v>12</v>
      </c>
      <c r="C304" s="2" t="s">
        <v>4</v>
      </c>
    </row>
    <row r="305" customFormat="false" ht="15" hidden="false" customHeight="true" outlineLevel="0" collapsed="false">
      <c r="A305" s="8" t="n">
        <v>46069</v>
      </c>
      <c r="B305" s="2" t="s">
        <v>3</v>
      </c>
      <c r="C305" s="2" t="s">
        <v>5</v>
      </c>
    </row>
    <row r="306" customFormat="false" ht="15" hidden="false" customHeight="true" outlineLevel="0" collapsed="false">
      <c r="A306" s="8" t="n">
        <v>46070</v>
      </c>
      <c r="B306" s="2" t="s">
        <v>6</v>
      </c>
      <c r="C306" s="2" t="s">
        <v>5</v>
      </c>
    </row>
    <row r="307" customFormat="false" ht="15" hidden="false" customHeight="true" outlineLevel="0" collapsed="false">
      <c r="A307" s="8" t="n">
        <v>46115</v>
      </c>
      <c r="B307" s="2" t="s">
        <v>7</v>
      </c>
      <c r="C307" s="2" t="s">
        <v>8</v>
      </c>
    </row>
    <row r="308" customFormat="false" ht="15" hidden="false" customHeight="true" outlineLevel="0" collapsed="false">
      <c r="A308" s="8" t="n">
        <v>46133</v>
      </c>
      <c r="B308" s="2" t="s">
        <v>6</v>
      </c>
      <c r="C308" s="2" t="s">
        <v>10</v>
      </c>
    </row>
    <row r="309" customFormat="false" ht="15" hidden="false" customHeight="true" outlineLevel="0" collapsed="false">
      <c r="A309" s="8" t="n">
        <v>46143</v>
      </c>
      <c r="B309" s="2" t="s">
        <v>7</v>
      </c>
      <c r="C309" s="2" t="s">
        <v>11</v>
      </c>
    </row>
    <row r="310" customFormat="false" ht="15" hidden="false" customHeight="true" outlineLevel="0" collapsed="false">
      <c r="A310" s="8" t="n">
        <v>46177</v>
      </c>
      <c r="B310" s="2" t="s">
        <v>12</v>
      </c>
      <c r="C310" s="2" t="s">
        <v>13</v>
      </c>
    </row>
    <row r="311" customFormat="false" ht="15" hidden="false" customHeight="true" outlineLevel="0" collapsed="false">
      <c r="A311" s="8" t="n">
        <v>46272</v>
      </c>
      <c r="B311" s="2" t="s">
        <v>3</v>
      </c>
      <c r="C311" s="2" t="s">
        <v>14</v>
      </c>
    </row>
    <row r="312" customFormat="false" ht="15" hidden="false" customHeight="true" outlineLevel="0" collapsed="false">
      <c r="A312" s="8" t="n">
        <v>46307</v>
      </c>
      <c r="B312" s="2" t="s">
        <v>3</v>
      </c>
      <c r="C312" s="2" t="s">
        <v>15</v>
      </c>
    </row>
    <row r="313" customFormat="false" ht="15" hidden="false" customHeight="true" outlineLevel="0" collapsed="false">
      <c r="A313" s="8" t="n">
        <v>46328</v>
      </c>
      <c r="B313" s="2" t="s">
        <v>3</v>
      </c>
      <c r="C313" s="2" t="s">
        <v>16</v>
      </c>
    </row>
    <row r="314" customFormat="false" ht="15" hidden="false" customHeight="true" outlineLevel="0" collapsed="false">
      <c r="A314" s="8" t="n">
        <v>46341</v>
      </c>
      <c r="B314" s="2" t="s">
        <v>19</v>
      </c>
      <c r="C314" s="2" t="s">
        <v>17</v>
      </c>
    </row>
    <row r="315" customFormat="false" ht="15" hidden="false" customHeight="true" outlineLevel="0" collapsed="false">
      <c r="A315" s="8" t="n">
        <v>46346</v>
      </c>
      <c r="B315" s="2" t="s">
        <v>7</v>
      </c>
      <c r="C315" s="2" t="s">
        <v>21</v>
      </c>
      <c r="G315" s="9"/>
    </row>
    <row r="316" customFormat="false" ht="15" hidden="false" customHeight="true" outlineLevel="0" collapsed="false">
      <c r="A316" s="8" t="n">
        <v>46381</v>
      </c>
      <c r="B316" s="2" t="s">
        <v>7</v>
      </c>
      <c r="C316" s="2" t="s">
        <v>18</v>
      </c>
    </row>
    <row r="317" customFormat="false" ht="15" hidden="false" customHeight="true" outlineLevel="0" collapsed="false">
      <c r="A317" s="6" t="n">
        <v>46388</v>
      </c>
      <c r="B317" s="7" t="s">
        <v>7</v>
      </c>
      <c r="C317" s="7" t="s">
        <v>4</v>
      </c>
    </row>
    <row r="318" customFormat="false" ht="15" hidden="false" customHeight="true" outlineLevel="0" collapsed="false">
      <c r="A318" s="6" t="n">
        <v>46426</v>
      </c>
      <c r="B318" s="7" t="s">
        <v>3</v>
      </c>
      <c r="C318" s="7" t="s">
        <v>5</v>
      </c>
    </row>
    <row r="319" customFormat="false" ht="15" hidden="false" customHeight="true" outlineLevel="0" collapsed="false">
      <c r="A319" s="6" t="n">
        <v>46427</v>
      </c>
      <c r="B319" s="7" t="s">
        <v>6</v>
      </c>
      <c r="C319" s="7" t="s">
        <v>5</v>
      </c>
    </row>
    <row r="320" customFormat="false" ht="15" hidden="false" customHeight="true" outlineLevel="0" collapsed="false">
      <c r="A320" s="6" t="n">
        <v>46472</v>
      </c>
      <c r="B320" s="7" t="s">
        <v>7</v>
      </c>
      <c r="C320" s="7" t="s">
        <v>8</v>
      </c>
    </row>
    <row r="321" customFormat="false" ht="15" hidden="false" customHeight="true" outlineLevel="0" collapsed="false">
      <c r="A321" s="6" t="n">
        <v>46498</v>
      </c>
      <c r="B321" s="7" t="s">
        <v>20</v>
      </c>
      <c r="C321" s="7" t="s">
        <v>10</v>
      </c>
    </row>
    <row r="322" customFormat="false" ht="15" hidden="false" customHeight="true" outlineLevel="0" collapsed="false">
      <c r="A322" s="6" t="n">
        <v>46508</v>
      </c>
      <c r="B322" s="7" t="s">
        <v>9</v>
      </c>
      <c r="C322" s="7" t="s">
        <v>11</v>
      </c>
    </row>
    <row r="323" customFormat="false" ht="15" hidden="false" customHeight="true" outlineLevel="0" collapsed="false">
      <c r="A323" s="6" t="n">
        <v>46534</v>
      </c>
      <c r="B323" s="7" t="s">
        <v>12</v>
      </c>
      <c r="C323" s="7" t="s">
        <v>13</v>
      </c>
    </row>
    <row r="324" customFormat="false" ht="15" hidden="false" customHeight="true" outlineLevel="0" collapsed="false">
      <c r="A324" s="6" t="n">
        <v>46637</v>
      </c>
      <c r="B324" s="7" t="s">
        <v>6</v>
      </c>
      <c r="C324" s="7" t="s">
        <v>14</v>
      </c>
    </row>
    <row r="325" customFormat="false" ht="15" hidden="false" customHeight="true" outlineLevel="0" collapsed="false">
      <c r="A325" s="6" t="n">
        <v>46672</v>
      </c>
      <c r="B325" s="7" t="s">
        <v>6</v>
      </c>
      <c r="C325" s="7" t="s">
        <v>15</v>
      </c>
    </row>
    <row r="326" customFormat="false" ht="15" hidden="false" customHeight="true" outlineLevel="0" collapsed="false">
      <c r="A326" s="6" t="n">
        <v>46693</v>
      </c>
      <c r="B326" s="7" t="s">
        <v>6</v>
      </c>
      <c r="C326" s="7" t="s">
        <v>16</v>
      </c>
    </row>
    <row r="327" customFormat="false" ht="15" hidden="false" customHeight="true" outlineLevel="0" collapsed="false">
      <c r="A327" s="6" t="n">
        <v>46706</v>
      </c>
      <c r="B327" s="7" t="s">
        <v>3</v>
      </c>
      <c r="C327" s="7" t="s">
        <v>17</v>
      </c>
    </row>
    <row r="328" customFormat="false" ht="15" hidden="false" customHeight="true" outlineLevel="0" collapsed="false">
      <c r="A328" s="6" t="n">
        <v>46711</v>
      </c>
      <c r="B328" s="7" t="s">
        <v>9</v>
      </c>
      <c r="C328" s="7" t="s">
        <v>21</v>
      </c>
      <c r="G328" s="9"/>
    </row>
    <row r="329" customFormat="false" ht="15" hidden="false" customHeight="true" outlineLevel="0" collapsed="false">
      <c r="A329" s="6" t="n">
        <v>46746</v>
      </c>
      <c r="B329" s="7" t="s">
        <v>9</v>
      </c>
      <c r="C329" s="7" t="s">
        <v>18</v>
      </c>
    </row>
    <row r="330" customFormat="false" ht="15" hidden="false" customHeight="true" outlineLevel="0" collapsed="false">
      <c r="A330" s="8" t="n">
        <v>46753</v>
      </c>
      <c r="B330" s="2" t="s">
        <v>9</v>
      </c>
      <c r="C330" s="2" t="s">
        <v>4</v>
      </c>
    </row>
    <row r="331" customFormat="false" ht="15" hidden="false" customHeight="true" outlineLevel="0" collapsed="false">
      <c r="A331" s="8" t="n">
        <v>46811</v>
      </c>
      <c r="B331" s="2" t="s">
        <v>3</v>
      </c>
      <c r="C331" s="2" t="s">
        <v>5</v>
      </c>
    </row>
    <row r="332" customFormat="false" ht="15" hidden="false" customHeight="true" outlineLevel="0" collapsed="false">
      <c r="A332" s="8" t="n">
        <v>46812</v>
      </c>
      <c r="B332" s="2" t="s">
        <v>6</v>
      </c>
      <c r="C332" s="2" t="s">
        <v>5</v>
      </c>
    </row>
    <row r="333" customFormat="false" ht="15" hidden="false" customHeight="true" outlineLevel="0" collapsed="false">
      <c r="A333" s="8" t="n">
        <v>46857</v>
      </c>
      <c r="B333" s="2" t="s">
        <v>7</v>
      </c>
      <c r="C333" s="2" t="s">
        <v>8</v>
      </c>
    </row>
    <row r="334" customFormat="false" ht="15" hidden="false" customHeight="true" outlineLevel="0" collapsed="false">
      <c r="A334" s="8" t="n">
        <v>46864</v>
      </c>
      <c r="B334" s="2" t="s">
        <v>7</v>
      </c>
      <c r="C334" s="2" t="s">
        <v>10</v>
      </c>
    </row>
    <row r="335" customFormat="false" ht="15" hidden="false" customHeight="true" outlineLevel="0" collapsed="false">
      <c r="A335" s="8" t="n">
        <v>46874</v>
      </c>
      <c r="B335" s="2" t="s">
        <v>3</v>
      </c>
      <c r="C335" s="2" t="s">
        <v>11</v>
      </c>
    </row>
    <row r="336" customFormat="false" ht="15" hidden="false" customHeight="true" outlineLevel="0" collapsed="false">
      <c r="A336" s="8" t="n">
        <v>46919</v>
      </c>
      <c r="B336" s="2" t="s">
        <v>12</v>
      </c>
      <c r="C336" s="2" t="s">
        <v>13</v>
      </c>
    </row>
    <row r="337" customFormat="false" ht="15" hidden="false" customHeight="true" outlineLevel="0" collapsed="false">
      <c r="A337" s="8" t="n">
        <v>47003</v>
      </c>
      <c r="B337" s="2" t="s">
        <v>12</v>
      </c>
      <c r="C337" s="2" t="s">
        <v>14</v>
      </c>
    </row>
    <row r="338" customFormat="false" ht="15" hidden="false" customHeight="true" outlineLevel="0" collapsed="false">
      <c r="A338" s="8" t="n">
        <v>47038</v>
      </c>
      <c r="B338" s="2" t="s">
        <v>12</v>
      </c>
      <c r="C338" s="2" t="s">
        <v>15</v>
      </c>
    </row>
    <row r="339" customFormat="false" ht="15" hidden="false" customHeight="true" outlineLevel="0" collapsed="false">
      <c r="A339" s="8" t="n">
        <v>47059</v>
      </c>
      <c r="B339" s="2" t="s">
        <v>12</v>
      </c>
      <c r="C339" s="2" t="s">
        <v>16</v>
      </c>
    </row>
    <row r="340" customFormat="false" ht="15" hidden="false" customHeight="true" outlineLevel="0" collapsed="false">
      <c r="A340" s="8" t="n">
        <v>47072</v>
      </c>
      <c r="B340" s="2" t="s">
        <v>20</v>
      </c>
      <c r="C340" s="2" t="s">
        <v>17</v>
      </c>
    </row>
    <row r="341" customFormat="false" ht="15" hidden="false" customHeight="true" outlineLevel="0" collapsed="false">
      <c r="A341" s="8" t="n">
        <v>47077</v>
      </c>
      <c r="B341" s="2" t="s">
        <v>3</v>
      </c>
      <c r="C341" s="2" t="s">
        <v>21</v>
      </c>
      <c r="G341" s="9"/>
    </row>
    <row r="342" customFormat="false" ht="15" hidden="false" customHeight="true" outlineLevel="0" collapsed="false">
      <c r="A342" s="8" t="n">
        <v>47112</v>
      </c>
      <c r="B342" s="2" t="s">
        <v>3</v>
      </c>
      <c r="C342" s="2" t="s">
        <v>18</v>
      </c>
    </row>
    <row r="343" customFormat="false" ht="15" hidden="false" customHeight="true" outlineLevel="0" collapsed="false">
      <c r="A343" s="6" t="n">
        <v>47119</v>
      </c>
      <c r="B343" s="7" t="s">
        <v>3</v>
      </c>
      <c r="C343" s="7" t="s">
        <v>4</v>
      </c>
    </row>
    <row r="344" customFormat="false" ht="15" hidden="false" customHeight="true" outlineLevel="0" collapsed="false">
      <c r="A344" s="6" t="n">
        <v>47161</v>
      </c>
      <c r="B344" s="7" t="s">
        <v>3</v>
      </c>
      <c r="C344" s="7" t="s">
        <v>5</v>
      </c>
    </row>
    <row r="345" customFormat="false" ht="15" hidden="false" customHeight="true" outlineLevel="0" collapsed="false">
      <c r="A345" s="6" t="n">
        <v>47162</v>
      </c>
      <c r="B345" s="7" t="s">
        <v>6</v>
      </c>
      <c r="C345" s="7" t="s">
        <v>5</v>
      </c>
    </row>
    <row r="346" customFormat="false" ht="15" hidden="false" customHeight="true" outlineLevel="0" collapsed="false">
      <c r="A346" s="6" t="n">
        <v>47207</v>
      </c>
      <c r="B346" s="7" t="s">
        <v>7</v>
      </c>
      <c r="C346" s="7" t="s">
        <v>8</v>
      </c>
    </row>
    <row r="347" customFormat="false" ht="15" hidden="false" customHeight="true" outlineLevel="0" collapsed="false">
      <c r="A347" s="6" t="n">
        <v>47229</v>
      </c>
      <c r="B347" s="7" t="s">
        <v>9</v>
      </c>
      <c r="C347" s="7" t="s">
        <v>10</v>
      </c>
    </row>
    <row r="348" customFormat="false" ht="15" hidden="false" customHeight="true" outlineLevel="0" collapsed="false">
      <c r="A348" s="6" t="n">
        <v>47239</v>
      </c>
      <c r="B348" s="7" t="s">
        <v>6</v>
      </c>
      <c r="C348" s="7" t="s">
        <v>11</v>
      </c>
    </row>
    <row r="349" customFormat="false" ht="15" hidden="false" customHeight="true" outlineLevel="0" collapsed="false">
      <c r="A349" s="6" t="n">
        <v>47269</v>
      </c>
      <c r="B349" s="7" t="s">
        <v>12</v>
      </c>
      <c r="C349" s="7" t="s">
        <v>13</v>
      </c>
    </row>
    <row r="350" customFormat="false" ht="15" hidden="false" customHeight="true" outlineLevel="0" collapsed="false">
      <c r="A350" s="6" t="n">
        <v>47368</v>
      </c>
      <c r="B350" s="7" t="s">
        <v>7</v>
      </c>
      <c r="C350" s="7" t="s">
        <v>14</v>
      </c>
    </row>
    <row r="351" customFormat="false" ht="15" hidden="false" customHeight="true" outlineLevel="0" collapsed="false">
      <c r="A351" s="6" t="n">
        <v>47403</v>
      </c>
      <c r="B351" s="7" t="s">
        <v>7</v>
      </c>
      <c r="C351" s="7" t="s">
        <v>15</v>
      </c>
    </row>
    <row r="352" customFormat="false" ht="15" hidden="false" customHeight="true" outlineLevel="0" collapsed="false">
      <c r="A352" s="6" t="n">
        <v>47424</v>
      </c>
      <c r="B352" s="7" t="s">
        <v>7</v>
      </c>
      <c r="C352" s="7" t="s">
        <v>16</v>
      </c>
    </row>
    <row r="353" customFormat="false" ht="15" hidden="false" customHeight="true" outlineLevel="0" collapsed="false">
      <c r="A353" s="6" t="n">
        <v>47437</v>
      </c>
      <c r="B353" s="7" t="s">
        <v>12</v>
      </c>
      <c r="C353" s="7" t="s">
        <v>17</v>
      </c>
    </row>
    <row r="354" customFormat="false" ht="15" hidden="false" customHeight="true" outlineLevel="0" collapsed="false">
      <c r="A354" s="6" t="n">
        <v>47442</v>
      </c>
      <c r="B354" s="7" t="s">
        <v>6</v>
      </c>
      <c r="C354" s="7" t="s">
        <v>21</v>
      </c>
      <c r="G354" s="9"/>
    </row>
    <row r="355" customFormat="false" ht="15" hidden="false" customHeight="true" outlineLevel="0" collapsed="false">
      <c r="A355" s="6" t="n">
        <v>47477</v>
      </c>
      <c r="B355" s="7" t="s">
        <v>6</v>
      </c>
      <c r="C355" s="7" t="s">
        <v>18</v>
      </c>
    </row>
    <row r="356" customFormat="false" ht="15" hidden="false" customHeight="true" outlineLevel="0" collapsed="false">
      <c r="A356" s="8" t="n">
        <v>47484</v>
      </c>
      <c r="B356" s="2" t="s">
        <v>6</v>
      </c>
      <c r="C356" s="2" t="s">
        <v>4</v>
      </c>
    </row>
    <row r="357" customFormat="false" ht="15" hidden="false" customHeight="true" outlineLevel="0" collapsed="false">
      <c r="A357" s="8" t="n">
        <v>47546</v>
      </c>
      <c r="B357" s="2" t="s">
        <v>3</v>
      </c>
      <c r="C357" s="2" t="s">
        <v>5</v>
      </c>
    </row>
    <row r="358" customFormat="false" ht="15" hidden="false" customHeight="true" outlineLevel="0" collapsed="false">
      <c r="A358" s="8" t="n">
        <v>47547</v>
      </c>
      <c r="B358" s="2" t="s">
        <v>6</v>
      </c>
      <c r="C358" s="2" t="s">
        <v>5</v>
      </c>
    </row>
    <row r="359" customFormat="false" ht="15" hidden="false" customHeight="true" outlineLevel="0" collapsed="false">
      <c r="A359" s="8" t="n">
        <v>47592</v>
      </c>
      <c r="B359" s="2" t="s">
        <v>7</v>
      </c>
      <c r="C359" s="2" t="s">
        <v>8</v>
      </c>
    </row>
    <row r="360" customFormat="false" ht="15" hidden="false" customHeight="true" outlineLevel="0" collapsed="false">
      <c r="A360" s="8" t="n">
        <v>47594</v>
      </c>
      <c r="B360" s="2" t="s">
        <v>19</v>
      </c>
      <c r="C360" s="2" t="s">
        <v>10</v>
      </c>
    </row>
    <row r="361" customFormat="false" ht="15" hidden="false" customHeight="true" outlineLevel="0" collapsed="false">
      <c r="A361" s="8" t="n">
        <v>47604</v>
      </c>
      <c r="B361" s="2" t="s">
        <v>20</v>
      </c>
      <c r="C361" s="2" t="s">
        <v>11</v>
      </c>
    </row>
    <row r="362" customFormat="false" ht="15" hidden="false" customHeight="true" outlineLevel="0" collapsed="false">
      <c r="A362" s="8" t="n">
        <v>47654</v>
      </c>
      <c r="B362" s="2" t="s">
        <v>12</v>
      </c>
      <c r="C362" s="2" t="s">
        <v>13</v>
      </c>
    </row>
    <row r="363" customFormat="false" ht="15" hidden="false" customHeight="true" outlineLevel="0" collapsed="false">
      <c r="A363" s="8" t="n">
        <v>47733</v>
      </c>
      <c r="B363" s="2" t="s">
        <v>9</v>
      </c>
      <c r="C363" s="2" t="s">
        <v>14</v>
      </c>
    </row>
    <row r="364" customFormat="false" ht="15" hidden="false" customHeight="true" outlineLevel="0" collapsed="false">
      <c r="A364" s="8" t="n">
        <v>47768</v>
      </c>
      <c r="B364" s="2" t="s">
        <v>9</v>
      </c>
      <c r="C364" s="2" t="s">
        <v>15</v>
      </c>
    </row>
    <row r="365" customFormat="false" ht="15" hidden="false" customHeight="true" outlineLevel="0" collapsed="false">
      <c r="A365" s="8" t="n">
        <v>47789</v>
      </c>
      <c r="B365" s="2" t="s">
        <v>9</v>
      </c>
      <c r="C365" s="2" t="s">
        <v>16</v>
      </c>
    </row>
    <row r="366" customFormat="false" ht="15" hidden="false" customHeight="true" outlineLevel="0" collapsed="false">
      <c r="A366" s="8" t="n">
        <v>47802</v>
      </c>
      <c r="B366" s="2" t="s">
        <v>7</v>
      </c>
      <c r="C366" s="2" t="s">
        <v>17</v>
      </c>
    </row>
    <row r="367" customFormat="false" ht="15" hidden="false" customHeight="true" outlineLevel="0" collapsed="false">
      <c r="A367" s="8" t="n">
        <v>47807</v>
      </c>
      <c r="B367" s="2" t="s">
        <v>20</v>
      </c>
      <c r="C367" s="2" t="s">
        <v>21</v>
      </c>
      <c r="G367" s="9"/>
    </row>
    <row r="368" customFormat="false" ht="15" hidden="false" customHeight="true" outlineLevel="0" collapsed="false">
      <c r="A368" s="8" t="n">
        <v>47842</v>
      </c>
      <c r="B368" s="2" t="s">
        <v>20</v>
      </c>
      <c r="C368" s="2" t="s">
        <v>18</v>
      </c>
    </row>
    <row r="369" customFormat="false" ht="15" hidden="false" customHeight="true" outlineLevel="0" collapsed="false">
      <c r="A369" s="6" t="n">
        <v>47849</v>
      </c>
      <c r="B369" s="7" t="s">
        <v>20</v>
      </c>
      <c r="C369" s="7" t="s">
        <v>4</v>
      </c>
    </row>
    <row r="370" customFormat="false" ht="15" hidden="false" customHeight="true" outlineLevel="0" collapsed="false">
      <c r="A370" s="6" t="n">
        <v>47903</v>
      </c>
      <c r="B370" s="7" t="s">
        <v>3</v>
      </c>
      <c r="C370" s="7" t="s">
        <v>5</v>
      </c>
    </row>
    <row r="371" customFormat="false" ht="15" hidden="false" customHeight="true" outlineLevel="0" collapsed="false">
      <c r="A371" s="6" t="n">
        <v>47904</v>
      </c>
      <c r="B371" s="7" t="s">
        <v>6</v>
      </c>
      <c r="C371" s="7" t="s">
        <v>5</v>
      </c>
    </row>
    <row r="372" customFormat="false" ht="15" hidden="false" customHeight="true" outlineLevel="0" collapsed="false">
      <c r="A372" s="6" t="n">
        <v>47949</v>
      </c>
      <c r="B372" s="7" t="s">
        <v>7</v>
      </c>
      <c r="C372" s="7" t="s">
        <v>8</v>
      </c>
    </row>
    <row r="373" customFormat="false" ht="15" hidden="false" customHeight="true" outlineLevel="0" collapsed="false">
      <c r="A373" s="6" t="n">
        <v>47959</v>
      </c>
      <c r="B373" s="7" t="s">
        <v>3</v>
      </c>
      <c r="C373" s="7" t="s">
        <v>10</v>
      </c>
    </row>
    <row r="374" customFormat="false" ht="15" hidden="false" customHeight="true" outlineLevel="0" collapsed="false">
      <c r="A374" s="6" t="n">
        <v>47969</v>
      </c>
      <c r="B374" s="7" t="s">
        <v>12</v>
      </c>
      <c r="C374" s="7" t="s">
        <v>11</v>
      </c>
    </row>
    <row r="375" customFormat="false" ht="15" hidden="false" customHeight="true" outlineLevel="0" collapsed="false">
      <c r="A375" s="6" t="n">
        <v>48011</v>
      </c>
      <c r="B375" s="7" t="s">
        <v>12</v>
      </c>
      <c r="C375" s="7" t="s">
        <v>13</v>
      </c>
    </row>
    <row r="376" customFormat="false" ht="15" hidden="false" customHeight="true" outlineLevel="0" collapsed="false">
      <c r="A376" s="6" t="n">
        <v>48098</v>
      </c>
      <c r="B376" s="7" t="s">
        <v>19</v>
      </c>
      <c r="C376" s="7" t="s">
        <v>14</v>
      </c>
    </row>
    <row r="377" customFormat="false" ht="15" hidden="false" customHeight="true" outlineLevel="0" collapsed="false">
      <c r="A377" s="6" t="n">
        <v>48133</v>
      </c>
      <c r="B377" s="7" t="s">
        <v>19</v>
      </c>
      <c r="C377" s="7" t="s">
        <v>15</v>
      </c>
    </row>
    <row r="378" customFormat="false" ht="15" hidden="false" customHeight="true" outlineLevel="0" collapsed="false">
      <c r="A378" s="6" t="n">
        <v>48154</v>
      </c>
      <c r="B378" s="7" t="s">
        <v>19</v>
      </c>
      <c r="C378" s="7" t="s">
        <v>16</v>
      </c>
    </row>
    <row r="379" customFormat="false" ht="15" hidden="false" customHeight="true" outlineLevel="0" collapsed="false">
      <c r="A379" s="6" t="n">
        <v>48167</v>
      </c>
      <c r="B379" s="7" t="s">
        <v>9</v>
      </c>
      <c r="C379" s="7" t="s">
        <v>17</v>
      </c>
    </row>
    <row r="380" customFormat="false" ht="15" hidden="false" customHeight="true" outlineLevel="0" collapsed="false">
      <c r="A380" s="6" t="n">
        <v>48172</v>
      </c>
      <c r="B380" s="7" t="s">
        <v>12</v>
      </c>
      <c r="C380" s="7" t="s">
        <v>21</v>
      </c>
      <c r="G380" s="9"/>
    </row>
    <row r="381" customFormat="false" ht="15" hidden="false" customHeight="true" outlineLevel="0" collapsed="false">
      <c r="A381" s="6" t="n">
        <v>48207</v>
      </c>
      <c r="B381" s="7" t="s">
        <v>12</v>
      </c>
      <c r="C381" s="7" t="s">
        <v>18</v>
      </c>
    </row>
    <row r="382" customFormat="false" ht="15" hidden="false" customHeight="true" outlineLevel="0" collapsed="false">
      <c r="A382" s="8" t="n">
        <v>48214</v>
      </c>
      <c r="B382" s="2" t="s">
        <v>12</v>
      </c>
      <c r="C382" s="2" t="s">
        <v>4</v>
      </c>
    </row>
    <row r="383" customFormat="false" ht="15" hidden="false" customHeight="true" outlineLevel="0" collapsed="false">
      <c r="A383" s="8" t="n">
        <v>48253</v>
      </c>
      <c r="B383" s="2" t="s">
        <v>3</v>
      </c>
      <c r="C383" s="2" t="s">
        <v>5</v>
      </c>
    </row>
    <row r="384" customFormat="false" ht="15" hidden="false" customHeight="true" outlineLevel="0" collapsed="false">
      <c r="A384" s="8" t="n">
        <v>48254</v>
      </c>
      <c r="B384" s="2" t="s">
        <v>6</v>
      </c>
      <c r="C384" s="2" t="s">
        <v>5</v>
      </c>
    </row>
    <row r="385" customFormat="false" ht="15" hidden="false" customHeight="true" outlineLevel="0" collapsed="false">
      <c r="A385" s="8" t="n">
        <v>48299</v>
      </c>
      <c r="B385" s="2" t="s">
        <v>7</v>
      </c>
      <c r="C385" s="2" t="s">
        <v>8</v>
      </c>
    </row>
    <row r="386" customFormat="false" ht="15" hidden="false" customHeight="true" outlineLevel="0" collapsed="false">
      <c r="A386" s="8" t="n">
        <v>48325</v>
      </c>
      <c r="B386" s="2" t="s">
        <v>20</v>
      </c>
      <c r="C386" s="2" t="s">
        <v>10</v>
      </c>
    </row>
    <row r="387" customFormat="false" ht="15" hidden="false" customHeight="true" outlineLevel="0" collapsed="false">
      <c r="A387" s="8" t="n">
        <v>48335</v>
      </c>
      <c r="B387" s="2" t="s">
        <v>9</v>
      </c>
      <c r="C387" s="2" t="s">
        <v>11</v>
      </c>
    </row>
    <row r="388" customFormat="false" ht="15" hidden="false" customHeight="true" outlineLevel="0" collapsed="false">
      <c r="A388" s="8" t="n">
        <v>48361</v>
      </c>
      <c r="B388" s="2" t="s">
        <v>12</v>
      </c>
      <c r="C388" s="2" t="s">
        <v>13</v>
      </c>
    </row>
    <row r="389" customFormat="false" ht="15" hidden="false" customHeight="true" outlineLevel="0" collapsed="false">
      <c r="A389" s="8" t="n">
        <v>48464</v>
      </c>
      <c r="B389" s="2" t="s">
        <v>6</v>
      </c>
      <c r="C389" s="2" t="s">
        <v>14</v>
      </c>
    </row>
    <row r="390" customFormat="false" ht="15" hidden="false" customHeight="true" outlineLevel="0" collapsed="false">
      <c r="A390" s="8" t="n">
        <v>48499</v>
      </c>
      <c r="B390" s="2" t="s">
        <v>6</v>
      </c>
      <c r="C390" s="2" t="s">
        <v>15</v>
      </c>
    </row>
    <row r="391" customFormat="false" ht="15" hidden="false" customHeight="true" outlineLevel="0" collapsed="false">
      <c r="A391" s="8" t="n">
        <v>48520</v>
      </c>
      <c r="B391" s="2" t="s">
        <v>6</v>
      </c>
      <c r="C391" s="2" t="s">
        <v>16</v>
      </c>
    </row>
    <row r="392" customFormat="false" ht="15" hidden="false" customHeight="true" outlineLevel="0" collapsed="false">
      <c r="A392" s="8" t="n">
        <v>48533</v>
      </c>
      <c r="B392" s="2" t="s">
        <v>3</v>
      </c>
      <c r="C392" s="2" t="s">
        <v>17</v>
      </c>
    </row>
    <row r="393" customFormat="false" ht="15" hidden="false" customHeight="true" outlineLevel="0" collapsed="false">
      <c r="A393" s="8" t="n">
        <v>48538</v>
      </c>
      <c r="B393" s="2" t="s">
        <v>9</v>
      </c>
      <c r="C393" s="2" t="s">
        <v>21</v>
      </c>
      <c r="G393" s="9"/>
    </row>
    <row r="394" customFormat="false" ht="15" hidden="false" customHeight="true" outlineLevel="0" collapsed="false">
      <c r="A394" s="8" t="n">
        <v>48573</v>
      </c>
      <c r="B394" s="2" t="s">
        <v>9</v>
      </c>
      <c r="C394" s="2" t="s">
        <v>18</v>
      </c>
    </row>
    <row r="395" customFormat="false" ht="15" hidden="false" customHeight="true" outlineLevel="0" collapsed="false">
      <c r="A395" s="6" t="n">
        <v>48580</v>
      </c>
      <c r="B395" s="7" t="s">
        <v>9</v>
      </c>
      <c r="C395" s="7" t="s">
        <v>4</v>
      </c>
    </row>
    <row r="396" customFormat="false" ht="15" hidden="false" customHeight="true" outlineLevel="0" collapsed="false">
      <c r="A396" s="6" t="n">
        <v>48638</v>
      </c>
      <c r="B396" s="7" t="s">
        <v>3</v>
      </c>
      <c r="C396" s="7" t="s">
        <v>5</v>
      </c>
    </row>
    <row r="397" customFormat="false" ht="15" hidden="false" customHeight="true" outlineLevel="0" collapsed="false">
      <c r="A397" s="6" t="n">
        <v>48639</v>
      </c>
      <c r="B397" s="7" t="s">
        <v>6</v>
      </c>
      <c r="C397" s="7" t="s">
        <v>5</v>
      </c>
    </row>
    <row r="398" customFormat="false" ht="15" hidden="false" customHeight="true" outlineLevel="0" collapsed="false">
      <c r="A398" s="6" t="n">
        <v>48684</v>
      </c>
      <c r="B398" s="7" t="s">
        <v>7</v>
      </c>
      <c r="C398" s="7" t="s">
        <v>8</v>
      </c>
    </row>
    <row r="399" customFormat="false" ht="15" hidden="false" customHeight="true" outlineLevel="0" collapsed="false">
      <c r="A399" s="6" t="n">
        <v>48690</v>
      </c>
      <c r="B399" s="7" t="s">
        <v>12</v>
      </c>
      <c r="C399" s="7" t="s">
        <v>10</v>
      </c>
    </row>
    <row r="400" customFormat="false" ht="15" hidden="false" customHeight="true" outlineLevel="0" collapsed="false">
      <c r="A400" s="6" t="n">
        <v>48700</v>
      </c>
      <c r="B400" s="7" t="s">
        <v>19</v>
      </c>
      <c r="C400" s="7" t="s">
        <v>11</v>
      </c>
    </row>
    <row r="401" customFormat="false" ht="15" hidden="false" customHeight="true" outlineLevel="0" collapsed="false">
      <c r="A401" s="6" t="n">
        <v>48746</v>
      </c>
      <c r="B401" s="7" t="s">
        <v>12</v>
      </c>
      <c r="C401" s="7" t="s">
        <v>13</v>
      </c>
    </row>
    <row r="402" customFormat="false" ht="15" hidden="false" customHeight="true" outlineLevel="0" collapsed="false">
      <c r="A402" s="6" t="n">
        <v>48829</v>
      </c>
      <c r="B402" s="7" t="s">
        <v>20</v>
      </c>
      <c r="C402" s="7" t="s">
        <v>14</v>
      </c>
    </row>
    <row r="403" customFormat="false" ht="15" hidden="false" customHeight="true" outlineLevel="0" collapsed="false">
      <c r="A403" s="6" t="n">
        <v>48864</v>
      </c>
      <c r="B403" s="7" t="s">
        <v>20</v>
      </c>
      <c r="C403" s="7" t="s">
        <v>15</v>
      </c>
    </row>
    <row r="404" customFormat="false" ht="15" hidden="false" customHeight="true" outlineLevel="0" collapsed="false">
      <c r="A404" s="6" t="n">
        <v>48885</v>
      </c>
      <c r="B404" s="7" t="s">
        <v>20</v>
      </c>
      <c r="C404" s="7" t="s">
        <v>16</v>
      </c>
    </row>
    <row r="405" customFormat="false" ht="15" hidden="false" customHeight="true" outlineLevel="0" collapsed="false">
      <c r="A405" s="6" t="n">
        <v>48898</v>
      </c>
      <c r="B405" s="7" t="s">
        <v>6</v>
      </c>
      <c r="C405" s="7" t="s">
        <v>17</v>
      </c>
    </row>
    <row r="406" customFormat="false" ht="15" hidden="false" customHeight="true" outlineLevel="0" collapsed="false">
      <c r="A406" s="6" t="n">
        <v>48903</v>
      </c>
      <c r="B406" s="7" t="s">
        <v>19</v>
      </c>
      <c r="C406" s="7" t="s">
        <v>21</v>
      </c>
      <c r="G406" s="9"/>
    </row>
    <row r="407" customFormat="false" ht="15" hidden="false" customHeight="true" outlineLevel="0" collapsed="false">
      <c r="A407" s="6" t="n">
        <v>48938</v>
      </c>
      <c r="B407" s="7" t="s">
        <v>19</v>
      </c>
      <c r="C407" s="7" t="s">
        <v>18</v>
      </c>
    </row>
    <row r="408" customFormat="false" ht="15" hidden="false" customHeight="true" outlineLevel="0" collapsed="false">
      <c r="A408" s="8" t="n">
        <v>48945</v>
      </c>
      <c r="B408" s="2" t="s">
        <v>19</v>
      </c>
      <c r="C408" s="2" t="s">
        <v>4</v>
      </c>
    </row>
    <row r="409" customFormat="false" ht="15" hidden="false" customHeight="true" outlineLevel="0" collapsed="false">
      <c r="A409" s="8" t="n">
        <v>48995</v>
      </c>
      <c r="B409" s="2" t="s">
        <v>3</v>
      </c>
      <c r="C409" s="2" t="s">
        <v>5</v>
      </c>
    </row>
    <row r="410" customFormat="false" ht="15" hidden="false" customHeight="true" outlineLevel="0" collapsed="false">
      <c r="A410" s="8" t="n">
        <v>48996</v>
      </c>
      <c r="B410" s="2" t="s">
        <v>6</v>
      </c>
      <c r="C410" s="2" t="s">
        <v>5</v>
      </c>
    </row>
    <row r="411" customFormat="false" ht="15" hidden="false" customHeight="true" outlineLevel="0" collapsed="false">
      <c r="A411" s="8" t="n">
        <v>49041</v>
      </c>
      <c r="B411" s="2" t="s">
        <v>7</v>
      </c>
      <c r="C411" s="2" t="s">
        <v>8</v>
      </c>
    </row>
    <row r="412" customFormat="false" ht="15" hidden="false" customHeight="true" outlineLevel="0" collapsed="false">
      <c r="A412" s="8" t="n">
        <v>49055</v>
      </c>
      <c r="B412" s="2" t="s">
        <v>7</v>
      </c>
      <c r="C412" s="2" t="s">
        <v>10</v>
      </c>
    </row>
    <row r="413" customFormat="false" ht="15" hidden="false" customHeight="true" outlineLevel="0" collapsed="false">
      <c r="A413" s="8" t="n">
        <v>49065</v>
      </c>
      <c r="B413" s="2" t="s">
        <v>3</v>
      </c>
      <c r="C413" s="2" t="s">
        <v>11</v>
      </c>
    </row>
    <row r="414" customFormat="false" ht="15" hidden="false" customHeight="true" outlineLevel="0" collapsed="false">
      <c r="A414" s="8" t="n">
        <v>49103</v>
      </c>
      <c r="B414" s="2" t="s">
        <v>12</v>
      </c>
      <c r="C414" s="2" t="s">
        <v>13</v>
      </c>
    </row>
    <row r="415" customFormat="false" ht="15" hidden="false" customHeight="true" outlineLevel="0" collapsed="false">
      <c r="A415" s="8" t="n">
        <v>49194</v>
      </c>
      <c r="B415" s="2" t="s">
        <v>12</v>
      </c>
      <c r="C415" s="2" t="s">
        <v>14</v>
      </c>
    </row>
    <row r="416" customFormat="false" ht="15" hidden="false" customHeight="true" outlineLevel="0" collapsed="false">
      <c r="A416" s="8" t="n">
        <v>49229</v>
      </c>
      <c r="B416" s="2" t="s">
        <v>12</v>
      </c>
      <c r="C416" s="2" t="s">
        <v>15</v>
      </c>
    </row>
    <row r="417" customFormat="false" ht="15" hidden="false" customHeight="true" outlineLevel="0" collapsed="false">
      <c r="A417" s="8" t="n">
        <v>49250</v>
      </c>
      <c r="B417" s="2" t="s">
        <v>12</v>
      </c>
      <c r="C417" s="2" t="s">
        <v>16</v>
      </c>
    </row>
    <row r="418" customFormat="false" ht="15" hidden="false" customHeight="true" outlineLevel="0" collapsed="false">
      <c r="A418" s="8" t="n">
        <v>49263</v>
      </c>
      <c r="B418" s="2" t="s">
        <v>20</v>
      </c>
      <c r="C418" s="2" t="s">
        <v>17</v>
      </c>
    </row>
    <row r="419" customFormat="false" ht="15" hidden="false" customHeight="true" outlineLevel="0" collapsed="false">
      <c r="A419" s="8" t="n">
        <v>49268</v>
      </c>
      <c r="B419" s="2" t="s">
        <v>3</v>
      </c>
      <c r="C419" s="2" t="s">
        <v>21</v>
      </c>
      <c r="G419" s="9"/>
    </row>
    <row r="420" customFormat="false" ht="15" hidden="false" customHeight="true" outlineLevel="0" collapsed="false">
      <c r="A420" s="8" t="n">
        <v>49303</v>
      </c>
      <c r="B420" s="2" t="s">
        <v>3</v>
      </c>
      <c r="C420" s="2" t="s">
        <v>18</v>
      </c>
    </row>
    <row r="421" customFormat="false" ht="15" hidden="false" customHeight="true" outlineLevel="0" collapsed="false">
      <c r="A421" s="6" t="n">
        <v>49310</v>
      </c>
      <c r="B421" s="7" t="s">
        <v>3</v>
      </c>
      <c r="C421" s="7" t="s">
        <v>4</v>
      </c>
    </row>
    <row r="422" customFormat="false" ht="15" hidden="false" customHeight="true" outlineLevel="0" collapsed="false">
      <c r="A422" s="6" t="n">
        <v>49345</v>
      </c>
      <c r="B422" s="7" t="s">
        <v>3</v>
      </c>
      <c r="C422" s="7" t="s">
        <v>5</v>
      </c>
    </row>
    <row r="423" customFormat="false" ht="15" hidden="false" customHeight="true" outlineLevel="0" collapsed="false">
      <c r="A423" s="6" t="n">
        <v>49346</v>
      </c>
      <c r="B423" s="7" t="s">
        <v>6</v>
      </c>
      <c r="C423" s="7" t="s">
        <v>5</v>
      </c>
    </row>
    <row r="424" customFormat="false" ht="15" hidden="false" customHeight="true" outlineLevel="0" collapsed="false">
      <c r="A424" s="6" t="n">
        <v>49391</v>
      </c>
      <c r="B424" s="7" t="s">
        <v>7</v>
      </c>
      <c r="C424" s="7" t="s">
        <v>8</v>
      </c>
    </row>
    <row r="425" customFormat="false" ht="15" hidden="false" customHeight="true" outlineLevel="0" collapsed="false">
      <c r="A425" s="6" t="n">
        <v>49420</v>
      </c>
      <c r="B425" s="7" t="s">
        <v>9</v>
      </c>
      <c r="C425" s="7" t="s">
        <v>10</v>
      </c>
    </row>
    <row r="426" customFormat="false" ht="15" hidden="false" customHeight="true" outlineLevel="0" collapsed="false">
      <c r="A426" s="6" t="n">
        <v>49430</v>
      </c>
      <c r="B426" s="7" t="s">
        <v>6</v>
      </c>
      <c r="C426" s="7" t="s">
        <v>11</v>
      </c>
    </row>
    <row r="427" customFormat="false" ht="15" hidden="false" customHeight="true" outlineLevel="0" collapsed="false">
      <c r="A427" s="6" t="n">
        <v>49453</v>
      </c>
      <c r="B427" s="7" t="s">
        <v>12</v>
      </c>
      <c r="C427" s="7" t="s">
        <v>13</v>
      </c>
    </row>
    <row r="428" customFormat="false" ht="15" hidden="false" customHeight="true" outlineLevel="0" collapsed="false">
      <c r="A428" s="6" t="n">
        <v>49559</v>
      </c>
      <c r="B428" s="7" t="s">
        <v>7</v>
      </c>
      <c r="C428" s="7" t="s">
        <v>14</v>
      </c>
    </row>
    <row r="429" customFormat="false" ht="15" hidden="false" customHeight="true" outlineLevel="0" collapsed="false">
      <c r="A429" s="6" t="n">
        <v>49594</v>
      </c>
      <c r="B429" s="7" t="s">
        <v>7</v>
      </c>
      <c r="C429" s="7" t="s">
        <v>15</v>
      </c>
    </row>
    <row r="430" customFormat="false" ht="15" hidden="false" customHeight="true" outlineLevel="0" collapsed="false">
      <c r="A430" s="6" t="n">
        <v>49615</v>
      </c>
      <c r="B430" s="7" t="s">
        <v>7</v>
      </c>
      <c r="C430" s="7" t="s">
        <v>16</v>
      </c>
    </row>
    <row r="431" customFormat="false" ht="15" hidden="false" customHeight="true" outlineLevel="0" collapsed="false">
      <c r="A431" s="6" t="n">
        <v>49628</v>
      </c>
      <c r="B431" s="7" t="s">
        <v>12</v>
      </c>
      <c r="C431" s="7" t="s">
        <v>17</v>
      </c>
    </row>
    <row r="432" customFormat="false" ht="15" hidden="false" customHeight="true" outlineLevel="0" collapsed="false">
      <c r="A432" s="6" t="n">
        <v>49633</v>
      </c>
      <c r="B432" s="7" t="s">
        <v>6</v>
      </c>
      <c r="C432" s="7" t="s">
        <v>21</v>
      </c>
      <c r="G432" s="9"/>
    </row>
    <row r="433" customFormat="false" ht="15" hidden="false" customHeight="true" outlineLevel="0" collapsed="false">
      <c r="A433" s="6" t="n">
        <v>49668</v>
      </c>
      <c r="B433" s="7" t="s">
        <v>6</v>
      </c>
      <c r="C433" s="7" t="s">
        <v>18</v>
      </c>
    </row>
    <row r="434" customFormat="false" ht="15" hidden="false" customHeight="true" outlineLevel="0" collapsed="false">
      <c r="A434" s="8" t="n">
        <v>49675</v>
      </c>
      <c r="B434" s="2" t="s">
        <v>6</v>
      </c>
      <c r="C434" s="2" t="s">
        <v>4</v>
      </c>
    </row>
    <row r="435" customFormat="false" ht="15" hidden="false" customHeight="true" outlineLevel="0" collapsed="false">
      <c r="A435" s="8" t="n">
        <v>49730</v>
      </c>
      <c r="B435" s="2" t="s">
        <v>3</v>
      </c>
      <c r="C435" s="2" t="s">
        <v>5</v>
      </c>
    </row>
    <row r="436" customFormat="false" ht="15" hidden="false" customHeight="true" outlineLevel="0" collapsed="false">
      <c r="A436" s="8" t="n">
        <v>49731</v>
      </c>
      <c r="B436" s="2" t="s">
        <v>6</v>
      </c>
      <c r="C436" s="2" t="s">
        <v>5</v>
      </c>
    </row>
    <row r="437" customFormat="false" ht="15" hidden="false" customHeight="true" outlineLevel="0" collapsed="false">
      <c r="A437" s="8" t="n">
        <v>49776</v>
      </c>
      <c r="B437" s="2" t="s">
        <v>7</v>
      </c>
      <c r="C437" s="2" t="s">
        <v>8</v>
      </c>
    </row>
    <row r="438" customFormat="false" ht="15" hidden="false" customHeight="true" outlineLevel="0" collapsed="false">
      <c r="A438" s="8" t="n">
        <v>49786</v>
      </c>
      <c r="B438" s="2" t="s">
        <v>3</v>
      </c>
      <c r="C438" s="2" t="s">
        <v>10</v>
      </c>
    </row>
    <row r="439" customFormat="false" ht="15" hidden="false" customHeight="true" outlineLevel="0" collapsed="false">
      <c r="A439" s="8" t="n">
        <v>49796</v>
      </c>
      <c r="B439" s="2" t="s">
        <v>12</v>
      </c>
      <c r="C439" s="2" t="s">
        <v>11</v>
      </c>
    </row>
    <row r="440" customFormat="false" ht="15" hidden="false" customHeight="true" outlineLevel="0" collapsed="false">
      <c r="A440" s="8" t="n">
        <v>49838</v>
      </c>
      <c r="B440" s="2" t="s">
        <v>12</v>
      </c>
      <c r="C440" s="2" t="s">
        <v>13</v>
      </c>
    </row>
    <row r="441" customFormat="false" ht="15" hidden="false" customHeight="true" outlineLevel="0" collapsed="false">
      <c r="A441" s="8" t="n">
        <v>49925</v>
      </c>
      <c r="B441" s="2" t="s">
        <v>19</v>
      </c>
      <c r="C441" s="2" t="s">
        <v>14</v>
      </c>
    </row>
    <row r="442" customFormat="false" ht="15" hidden="false" customHeight="true" outlineLevel="0" collapsed="false">
      <c r="A442" s="8" t="n">
        <v>49960</v>
      </c>
      <c r="B442" s="2" t="s">
        <v>19</v>
      </c>
      <c r="C442" s="2" t="s">
        <v>15</v>
      </c>
    </row>
    <row r="443" customFormat="false" ht="15" hidden="false" customHeight="true" outlineLevel="0" collapsed="false">
      <c r="A443" s="8" t="n">
        <v>49981</v>
      </c>
      <c r="B443" s="2" t="s">
        <v>19</v>
      </c>
      <c r="C443" s="2" t="s">
        <v>16</v>
      </c>
    </row>
    <row r="444" customFormat="false" ht="15" hidden="false" customHeight="true" outlineLevel="0" collapsed="false">
      <c r="A444" s="8" t="n">
        <v>49994</v>
      </c>
      <c r="B444" s="2" t="s">
        <v>9</v>
      </c>
      <c r="C444" s="2" t="s">
        <v>17</v>
      </c>
    </row>
    <row r="445" customFormat="false" ht="15" hidden="false" customHeight="true" outlineLevel="0" collapsed="false">
      <c r="A445" s="8" t="n">
        <v>49999</v>
      </c>
      <c r="B445" s="2" t="s">
        <v>12</v>
      </c>
      <c r="C445" s="2" t="s">
        <v>21</v>
      </c>
      <c r="G445" s="9"/>
    </row>
    <row r="446" customFormat="false" ht="15" hidden="false" customHeight="true" outlineLevel="0" collapsed="false">
      <c r="A446" s="8" t="n">
        <v>50034</v>
      </c>
      <c r="B446" s="2" t="s">
        <v>12</v>
      </c>
      <c r="C446" s="2" t="s">
        <v>18</v>
      </c>
    </row>
    <row r="447" customFormat="false" ht="15" hidden="false" customHeight="true" outlineLevel="0" collapsed="false">
      <c r="A447" s="6" t="n">
        <v>50041</v>
      </c>
      <c r="B447" s="7" t="s">
        <v>12</v>
      </c>
      <c r="C447" s="7" t="s">
        <v>4</v>
      </c>
    </row>
    <row r="448" customFormat="false" ht="15" hidden="false" customHeight="true" outlineLevel="0" collapsed="false">
      <c r="A448" s="6" t="n">
        <v>50087</v>
      </c>
      <c r="B448" s="7" t="s">
        <v>3</v>
      </c>
      <c r="C448" s="7" t="s">
        <v>5</v>
      </c>
    </row>
    <row r="449" customFormat="false" ht="15" hidden="false" customHeight="true" outlineLevel="0" collapsed="false">
      <c r="A449" s="6" t="n">
        <v>50088</v>
      </c>
      <c r="B449" s="7" t="s">
        <v>6</v>
      </c>
      <c r="C449" s="7" t="s">
        <v>5</v>
      </c>
    </row>
    <row r="450" customFormat="false" ht="15" hidden="false" customHeight="true" outlineLevel="0" collapsed="false">
      <c r="A450" s="6" t="n">
        <v>50133</v>
      </c>
      <c r="B450" s="7" t="s">
        <v>7</v>
      </c>
      <c r="C450" s="7" t="s">
        <v>8</v>
      </c>
    </row>
    <row r="451" customFormat="false" ht="15" hidden="false" customHeight="true" outlineLevel="0" collapsed="false">
      <c r="A451" s="6" t="n">
        <v>50151</v>
      </c>
      <c r="B451" s="7" t="s">
        <v>6</v>
      </c>
      <c r="C451" s="7" t="s">
        <v>10</v>
      </c>
    </row>
    <row r="452" customFormat="false" ht="15" hidden="false" customHeight="true" outlineLevel="0" collapsed="false">
      <c r="A452" s="6" t="n">
        <v>50161</v>
      </c>
      <c r="B452" s="7" t="s">
        <v>7</v>
      </c>
      <c r="C452" s="7" t="s">
        <v>11</v>
      </c>
    </row>
    <row r="453" customFormat="false" ht="15" hidden="false" customHeight="true" outlineLevel="0" collapsed="false">
      <c r="A453" s="6" t="n">
        <v>50195</v>
      </c>
      <c r="B453" s="7" t="s">
        <v>12</v>
      </c>
      <c r="C453" s="7" t="s">
        <v>13</v>
      </c>
    </row>
    <row r="454" customFormat="false" ht="15" hidden="false" customHeight="true" outlineLevel="0" collapsed="false">
      <c r="A454" s="6" t="n">
        <v>50290</v>
      </c>
      <c r="B454" s="7" t="s">
        <v>3</v>
      </c>
      <c r="C454" s="7" t="s">
        <v>14</v>
      </c>
    </row>
    <row r="455" customFormat="false" ht="15" hidden="false" customHeight="true" outlineLevel="0" collapsed="false">
      <c r="A455" s="6" t="n">
        <v>50325</v>
      </c>
      <c r="B455" s="7" t="s">
        <v>3</v>
      </c>
      <c r="C455" s="7" t="s">
        <v>15</v>
      </c>
    </row>
    <row r="456" customFormat="false" ht="15" hidden="false" customHeight="true" outlineLevel="0" collapsed="false">
      <c r="A456" s="6" t="n">
        <v>50346</v>
      </c>
      <c r="B456" s="7" t="s">
        <v>3</v>
      </c>
      <c r="C456" s="7" t="s">
        <v>16</v>
      </c>
    </row>
    <row r="457" customFormat="false" ht="15" hidden="false" customHeight="true" outlineLevel="0" collapsed="false">
      <c r="A457" s="6" t="n">
        <v>50359</v>
      </c>
      <c r="B457" s="7" t="s">
        <v>19</v>
      </c>
      <c r="C457" s="7" t="s">
        <v>17</v>
      </c>
    </row>
    <row r="458" customFormat="false" ht="15" hidden="false" customHeight="true" outlineLevel="0" collapsed="false">
      <c r="A458" s="6" t="n">
        <v>50364</v>
      </c>
      <c r="B458" s="7" t="s">
        <v>7</v>
      </c>
      <c r="C458" s="7" t="s">
        <v>21</v>
      </c>
      <c r="G458" s="9"/>
    </row>
    <row r="459" customFormat="false" ht="15" hidden="false" customHeight="true" outlineLevel="0" collapsed="false">
      <c r="A459" s="6" t="n">
        <v>50399</v>
      </c>
      <c r="B459" s="7" t="s">
        <v>7</v>
      </c>
      <c r="C459" s="7" t="s">
        <v>18</v>
      </c>
    </row>
    <row r="460" customFormat="false" ht="15" hidden="false" customHeight="true" outlineLevel="0" collapsed="false">
      <c r="A460" s="8" t="n">
        <v>50406</v>
      </c>
      <c r="B460" s="2" t="s">
        <v>7</v>
      </c>
      <c r="C460" s="2" t="s">
        <v>4</v>
      </c>
    </row>
    <row r="461" customFormat="false" ht="15" hidden="false" customHeight="true" outlineLevel="0" collapsed="false">
      <c r="A461" s="8" t="n">
        <v>50472</v>
      </c>
      <c r="B461" s="2" t="s">
        <v>3</v>
      </c>
      <c r="C461" s="2" t="s">
        <v>5</v>
      </c>
    </row>
    <row r="462" customFormat="false" ht="15" hidden="false" customHeight="true" outlineLevel="0" collapsed="false">
      <c r="A462" s="8" t="n">
        <v>50473</v>
      </c>
      <c r="B462" s="2" t="s">
        <v>6</v>
      </c>
      <c r="C462" s="2" t="s">
        <v>5</v>
      </c>
    </row>
    <row r="463" customFormat="false" ht="15" hidden="false" customHeight="true" outlineLevel="0" collapsed="false">
      <c r="A463" s="8" t="n">
        <v>50516</v>
      </c>
      <c r="B463" s="2" t="s">
        <v>20</v>
      </c>
      <c r="C463" s="2" t="s">
        <v>10</v>
      </c>
    </row>
    <row r="464" customFormat="false" ht="15" hidden="false" customHeight="true" outlineLevel="0" collapsed="false">
      <c r="A464" s="8" t="n">
        <v>50518</v>
      </c>
      <c r="B464" s="2" t="s">
        <v>7</v>
      </c>
      <c r="C464" s="2" t="s">
        <v>8</v>
      </c>
    </row>
    <row r="465" customFormat="false" ht="15" hidden="false" customHeight="true" outlineLevel="0" collapsed="false">
      <c r="A465" s="8" t="n">
        <v>50526</v>
      </c>
      <c r="B465" s="2" t="s">
        <v>9</v>
      </c>
      <c r="C465" s="2" t="s">
        <v>11</v>
      </c>
    </row>
    <row r="466" customFormat="false" ht="15" hidden="false" customHeight="true" outlineLevel="0" collapsed="false">
      <c r="A466" s="8" t="n">
        <v>50580</v>
      </c>
      <c r="B466" s="2" t="s">
        <v>12</v>
      </c>
      <c r="C466" s="2" t="s">
        <v>13</v>
      </c>
    </row>
    <row r="467" customFormat="false" ht="15" hidden="false" customHeight="true" outlineLevel="0" collapsed="false">
      <c r="A467" s="8" t="n">
        <v>50655</v>
      </c>
      <c r="B467" s="2" t="s">
        <v>6</v>
      </c>
      <c r="C467" s="2" t="s">
        <v>14</v>
      </c>
    </row>
    <row r="468" customFormat="false" ht="15" hidden="false" customHeight="true" outlineLevel="0" collapsed="false">
      <c r="A468" s="8" t="n">
        <v>50690</v>
      </c>
      <c r="B468" s="2" t="s">
        <v>6</v>
      </c>
      <c r="C468" s="2" t="s">
        <v>15</v>
      </c>
    </row>
    <row r="469" customFormat="false" ht="15" hidden="false" customHeight="true" outlineLevel="0" collapsed="false">
      <c r="A469" s="8" t="n">
        <v>50711</v>
      </c>
      <c r="B469" s="2" t="s">
        <v>6</v>
      </c>
      <c r="C469" s="2" t="s">
        <v>16</v>
      </c>
    </row>
    <row r="470" customFormat="false" ht="15" hidden="false" customHeight="true" outlineLevel="0" collapsed="false">
      <c r="A470" s="8" t="n">
        <v>50724</v>
      </c>
      <c r="B470" s="2" t="s">
        <v>3</v>
      </c>
      <c r="C470" s="2" t="s">
        <v>17</v>
      </c>
    </row>
    <row r="471" customFormat="false" ht="15" hidden="false" customHeight="true" outlineLevel="0" collapsed="false">
      <c r="A471" s="8" t="n">
        <v>50729</v>
      </c>
      <c r="B471" s="2" t="s">
        <v>9</v>
      </c>
      <c r="C471" s="2" t="s">
        <v>21</v>
      </c>
      <c r="G471" s="9"/>
    </row>
    <row r="472" customFormat="false" ht="15" hidden="false" customHeight="true" outlineLevel="0" collapsed="false">
      <c r="A472" s="8" t="n">
        <v>50764</v>
      </c>
      <c r="B472" s="2" t="s">
        <v>9</v>
      </c>
      <c r="C472" s="2" t="s">
        <v>18</v>
      </c>
    </row>
    <row r="473" customFormat="false" ht="15" hidden="false" customHeight="true" outlineLevel="0" collapsed="false">
      <c r="A473" s="6" t="n">
        <v>50771</v>
      </c>
      <c r="B473" s="7" t="s">
        <v>9</v>
      </c>
      <c r="C473" s="7" t="s">
        <v>4</v>
      </c>
    </row>
    <row r="474" customFormat="false" ht="15" hidden="false" customHeight="true" outlineLevel="0" collapsed="false">
      <c r="A474" s="6" t="n">
        <v>50822</v>
      </c>
      <c r="B474" s="7" t="s">
        <v>3</v>
      </c>
      <c r="C474" s="7" t="s">
        <v>5</v>
      </c>
    </row>
    <row r="475" customFormat="false" ht="15" hidden="false" customHeight="true" outlineLevel="0" collapsed="false">
      <c r="A475" s="6" t="n">
        <v>50823</v>
      </c>
      <c r="B475" s="7" t="s">
        <v>6</v>
      </c>
      <c r="C475" s="7" t="s">
        <v>5</v>
      </c>
    </row>
    <row r="476" customFormat="false" ht="15" hidden="false" customHeight="true" outlineLevel="0" collapsed="false">
      <c r="A476" s="6" t="n">
        <v>50868</v>
      </c>
      <c r="B476" s="7" t="s">
        <v>7</v>
      </c>
      <c r="C476" s="7" t="s">
        <v>8</v>
      </c>
    </row>
    <row r="477" customFormat="false" ht="15" hidden="false" customHeight="true" outlineLevel="0" collapsed="false">
      <c r="A477" s="6" t="n">
        <v>50881</v>
      </c>
      <c r="B477" s="7" t="s">
        <v>12</v>
      </c>
      <c r="C477" s="7" t="s">
        <v>10</v>
      </c>
    </row>
    <row r="478" customFormat="false" ht="15" hidden="false" customHeight="true" outlineLevel="0" collapsed="false">
      <c r="A478" s="6" t="n">
        <v>50891</v>
      </c>
      <c r="B478" s="7" t="s">
        <v>19</v>
      </c>
      <c r="C478" s="7" t="s">
        <v>11</v>
      </c>
    </row>
    <row r="479" customFormat="false" ht="15" hidden="false" customHeight="true" outlineLevel="0" collapsed="false">
      <c r="A479" s="6" t="n">
        <v>50930</v>
      </c>
      <c r="B479" s="7" t="s">
        <v>12</v>
      </c>
      <c r="C479" s="7" t="s">
        <v>13</v>
      </c>
    </row>
    <row r="480" customFormat="false" ht="15" hidden="false" customHeight="true" outlineLevel="0" collapsed="false">
      <c r="A480" s="6" t="n">
        <v>51020</v>
      </c>
      <c r="B480" s="7" t="s">
        <v>20</v>
      </c>
      <c r="C480" s="7" t="s">
        <v>14</v>
      </c>
    </row>
    <row r="481" customFormat="false" ht="15" hidden="false" customHeight="true" outlineLevel="0" collapsed="false">
      <c r="A481" s="6" t="n">
        <v>51055</v>
      </c>
      <c r="B481" s="7" t="s">
        <v>20</v>
      </c>
      <c r="C481" s="7" t="s">
        <v>15</v>
      </c>
    </row>
    <row r="482" customFormat="false" ht="15" hidden="false" customHeight="true" outlineLevel="0" collapsed="false">
      <c r="A482" s="6" t="n">
        <v>51076</v>
      </c>
      <c r="B482" s="7" t="s">
        <v>20</v>
      </c>
      <c r="C482" s="7" t="s">
        <v>16</v>
      </c>
    </row>
    <row r="483" customFormat="false" ht="15" hidden="false" customHeight="true" outlineLevel="0" collapsed="false">
      <c r="A483" s="6" t="n">
        <v>51089</v>
      </c>
      <c r="B483" s="7" t="s">
        <v>6</v>
      </c>
      <c r="C483" s="7" t="s">
        <v>17</v>
      </c>
    </row>
    <row r="484" customFormat="false" ht="15" hidden="false" customHeight="true" outlineLevel="0" collapsed="false">
      <c r="A484" s="6" t="n">
        <v>51094</v>
      </c>
      <c r="B484" s="7" t="s">
        <v>19</v>
      </c>
      <c r="C484" s="7" t="s">
        <v>21</v>
      </c>
      <c r="G484" s="9"/>
    </row>
    <row r="485" customFormat="false" ht="15" hidden="false" customHeight="true" outlineLevel="0" collapsed="false">
      <c r="A485" s="6" t="n">
        <v>51129</v>
      </c>
      <c r="B485" s="7" t="s">
        <v>19</v>
      </c>
      <c r="C485" s="7" t="s">
        <v>18</v>
      </c>
    </row>
    <row r="486" customFormat="false" ht="15" hidden="false" customHeight="true" outlineLevel="0" collapsed="false">
      <c r="A486" s="8" t="n">
        <v>51136</v>
      </c>
      <c r="B486" s="2" t="s">
        <v>19</v>
      </c>
      <c r="C486" s="2" t="s">
        <v>4</v>
      </c>
    </row>
    <row r="487" customFormat="false" ht="15" hidden="false" customHeight="true" outlineLevel="0" collapsed="false">
      <c r="A487" s="8" t="n">
        <v>51179</v>
      </c>
      <c r="B487" s="2" t="s">
        <v>3</v>
      </c>
      <c r="C487" s="2" t="s">
        <v>5</v>
      </c>
    </row>
    <row r="488" customFormat="false" ht="15" hidden="false" customHeight="true" outlineLevel="0" collapsed="false">
      <c r="A488" s="8" t="n">
        <v>51180</v>
      </c>
      <c r="B488" s="2" t="s">
        <v>6</v>
      </c>
      <c r="C488" s="2" t="s">
        <v>5</v>
      </c>
    </row>
    <row r="489" customFormat="false" ht="15" hidden="false" customHeight="true" outlineLevel="0" collapsed="false">
      <c r="A489" s="8" t="n">
        <v>51225</v>
      </c>
      <c r="B489" s="2" t="s">
        <v>7</v>
      </c>
      <c r="C489" s="2" t="s">
        <v>8</v>
      </c>
    </row>
    <row r="490" customFormat="false" ht="15" hidden="false" customHeight="true" outlineLevel="0" collapsed="false">
      <c r="A490" s="8" t="n">
        <v>51247</v>
      </c>
      <c r="B490" s="2" t="s">
        <v>9</v>
      </c>
      <c r="C490" s="2" t="s">
        <v>10</v>
      </c>
    </row>
    <row r="491" customFormat="false" ht="15" hidden="false" customHeight="true" outlineLevel="0" collapsed="false">
      <c r="A491" s="8" t="n">
        <v>51257</v>
      </c>
      <c r="B491" s="2" t="s">
        <v>6</v>
      </c>
      <c r="C491" s="2" t="s">
        <v>11</v>
      </c>
    </row>
    <row r="492" customFormat="false" ht="15" hidden="false" customHeight="true" outlineLevel="0" collapsed="false">
      <c r="A492" s="8" t="n">
        <v>51287</v>
      </c>
      <c r="B492" s="2" t="s">
        <v>12</v>
      </c>
      <c r="C492" s="2" t="s">
        <v>13</v>
      </c>
    </row>
    <row r="493" customFormat="false" ht="15" hidden="false" customHeight="true" outlineLevel="0" collapsed="false">
      <c r="A493" s="8" t="n">
        <v>51386</v>
      </c>
      <c r="B493" s="2" t="s">
        <v>7</v>
      </c>
      <c r="C493" s="2" t="s">
        <v>14</v>
      </c>
    </row>
    <row r="494" customFormat="false" ht="15" hidden="false" customHeight="true" outlineLevel="0" collapsed="false">
      <c r="A494" s="8" t="n">
        <v>51421</v>
      </c>
      <c r="B494" s="2" t="s">
        <v>7</v>
      </c>
      <c r="C494" s="2" t="s">
        <v>15</v>
      </c>
    </row>
    <row r="495" customFormat="false" ht="15" hidden="false" customHeight="true" outlineLevel="0" collapsed="false">
      <c r="A495" s="8" t="n">
        <v>51442</v>
      </c>
      <c r="B495" s="2" t="s">
        <v>7</v>
      </c>
      <c r="C495" s="2" t="s">
        <v>16</v>
      </c>
    </row>
    <row r="496" customFormat="false" ht="15" hidden="false" customHeight="true" outlineLevel="0" collapsed="false">
      <c r="A496" s="8" t="n">
        <v>51455</v>
      </c>
      <c r="B496" s="2" t="s">
        <v>12</v>
      </c>
      <c r="C496" s="2" t="s">
        <v>17</v>
      </c>
    </row>
    <row r="497" customFormat="false" ht="15" hidden="false" customHeight="true" outlineLevel="0" collapsed="false">
      <c r="A497" s="8" t="n">
        <v>51460</v>
      </c>
      <c r="B497" s="2" t="s">
        <v>6</v>
      </c>
      <c r="C497" s="2" t="s">
        <v>21</v>
      </c>
      <c r="G497" s="9"/>
    </row>
    <row r="498" customFormat="false" ht="15" hidden="false" customHeight="true" outlineLevel="0" collapsed="false">
      <c r="A498" s="8" t="n">
        <v>51495</v>
      </c>
      <c r="B498" s="2" t="s">
        <v>6</v>
      </c>
      <c r="C498" s="2" t="s">
        <v>18</v>
      </c>
    </row>
    <row r="499" customFormat="false" ht="15" hidden="false" customHeight="true" outlineLevel="0" collapsed="false">
      <c r="A499" s="6" t="n">
        <v>51502</v>
      </c>
      <c r="B499" s="7" t="s">
        <v>6</v>
      </c>
      <c r="C499" s="7" t="s">
        <v>4</v>
      </c>
    </row>
    <row r="500" customFormat="false" ht="15" hidden="false" customHeight="true" outlineLevel="0" collapsed="false">
      <c r="A500" s="6" t="n">
        <v>51564</v>
      </c>
      <c r="B500" s="7" t="s">
        <v>3</v>
      </c>
      <c r="C500" s="7" t="s">
        <v>5</v>
      </c>
    </row>
    <row r="501" customFormat="false" ht="15" hidden="false" customHeight="true" outlineLevel="0" collapsed="false">
      <c r="A501" s="6" t="n">
        <v>51565</v>
      </c>
      <c r="B501" s="7" t="s">
        <v>6</v>
      </c>
      <c r="C501" s="7" t="s">
        <v>5</v>
      </c>
    </row>
    <row r="502" customFormat="false" ht="15" hidden="false" customHeight="true" outlineLevel="0" collapsed="false">
      <c r="A502" s="6" t="n">
        <v>51610</v>
      </c>
      <c r="B502" s="7" t="s">
        <v>7</v>
      </c>
      <c r="C502" s="7" t="s">
        <v>8</v>
      </c>
    </row>
    <row r="503" customFormat="false" ht="15" hidden="false" customHeight="true" outlineLevel="0" collapsed="false">
      <c r="A503" s="6" t="n">
        <v>51612</v>
      </c>
      <c r="B503" s="7" t="s">
        <v>19</v>
      </c>
      <c r="C503" s="7" t="s">
        <v>10</v>
      </c>
    </row>
    <row r="504" customFormat="false" ht="15" hidden="false" customHeight="true" outlineLevel="0" collapsed="false">
      <c r="A504" s="6" t="n">
        <v>51622</v>
      </c>
      <c r="B504" s="7" t="s">
        <v>20</v>
      </c>
      <c r="C504" s="7" t="s">
        <v>11</v>
      </c>
    </row>
    <row r="505" customFormat="false" ht="15" hidden="false" customHeight="true" outlineLevel="0" collapsed="false">
      <c r="A505" s="6" t="n">
        <v>51672</v>
      </c>
      <c r="B505" s="7" t="s">
        <v>12</v>
      </c>
      <c r="C505" s="7" t="s">
        <v>13</v>
      </c>
    </row>
    <row r="506" customFormat="false" ht="15" hidden="false" customHeight="true" outlineLevel="0" collapsed="false">
      <c r="A506" s="6" t="n">
        <v>51751</v>
      </c>
      <c r="B506" s="7" t="s">
        <v>9</v>
      </c>
      <c r="C506" s="7" t="s">
        <v>14</v>
      </c>
    </row>
    <row r="507" customFormat="false" ht="15" hidden="false" customHeight="true" outlineLevel="0" collapsed="false">
      <c r="A507" s="6" t="n">
        <v>51786</v>
      </c>
      <c r="B507" s="7" t="s">
        <v>9</v>
      </c>
      <c r="C507" s="7" t="s">
        <v>15</v>
      </c>
    </row>
    <row r="508" customFormat="false" ht="15" hidden="false" customHeight="true" outlineLevel="0" collapsed="false">
      <c r="A508" s="6" t="n">
        <v>51807</v>
      </c>
      <c r="B508" s="7" t="s">
        <v>9</v>
      </c>
      <c r="C508" s="7" t="s">
        <v>16</v>
      </c>
    </row>
    <row r="509" customFormat="false" ht="15" hidden="false" customHeight="true" outlineLevel="0" collapsed="false">
      <c r="A509" s="6" t="n">
        <v>51820</v>
      </c>
      <c r="B509" s="7" t="s">
        <v>7</v>
      </c>
      <c r="C509" s="7" t="s">
        <v>17</v>
      </c>
    </row>
    <row r="510" customFormat="false" ht="15" hidden="false" customHeight="true" outlineLevel="0" collapsed="false">
      <c r="A510" s="6" t="n">
        <v>51825</v>
      </c>
      <c r="B510" s="7" t="s">
        <v>20</v>
      </c>
      <c r="C510" s="7" t="s">
        <v>21</v>
      </c>
      <c r="G510" s="9"/>
    </row>
    <row r="511" customFormat="false" ht="15" hidden="false" customHeight="true" outlineLevel="0" collapsed="false">
      <c r="A511" s="6" t="n">
        <v>51860</v>
      </c>
      <c r="B511" s="7" t="s">
        <v>20</v>
      </c>
      <c r="C511" s="7" t="s">
        <v>18</v>
      </c>
    </row>
    <row r="512" customFormat="false" ht="15" hidden="false" customHeight="true" outlineLevel="0" collapsed="false">
      <c r="A512" s="8" t="n">
        <v>51867</v>
      </c>
      <c r="B512" s="2" t="s">
        <v>20</v>
      </c>
      <c r="C512" s="2" t="s">
        <v>4</v>
      </c>
    </row>
    <row r="513" customFormat="false" ht="15" hidden="false" customHeight="true" outlineLevel="0" collapsed="false">
      <c r="A513" s="8" t="n">
        <v>51914</v>
      </c>
      <c r="B513" s="2" t="s">
        <v>3</v>
      </c>
      <c r="C513" s="2" t="s">
        <v>5</v>
      </c>
    </row>
    <row r="514" customFormat="false" ht="15" hidden="false" customHeight="true" outlineLevel="0" collapsed="false">
      <c r="A514" s="8" t="n">
        <v>51915</v>
      </c>
      <c r="B514" s="2" t="s">
        <v>6</v>
      </c>
      <c r="C514" s="2" t="s">
        <v>5</v>
      </c>
    </row>
    <row r="515" customFormat="false" ht="15" hidden="false" customHeight="true" outlineLevel="0" collapsed="false">
      <c r="A515" s="8" t="n">
        <v>51960</v>
      </c>
      <c r="B515" s="2" t="s">
        <v>7</v>
      </c>
      <c r="C515" s="2" t="s">
        <v>8</v>
      </c>
    </row>
    <row r="516" customFormat="false" ht="15" hidden="false" customHeight="true" outlineLevel="0" collapsed="false">
      <c r="A516" s="8" t="n">
        <v>51977</v>
      </c>
      <c r="B516" s="2" t="s">
        <v>3</v>
      </c>
      <c r="C516" s="2" t="s">
        <v>10</v>
      </c>
    </row>
    <row r="517" customFormat="false" ht="15" hidden="false" customHeight="true" outlineLevel="0" collapsed="false">
      <c r="A517" s="8" t="n">
        <v>51987</v>
      </c>
      <c r="B517" s="2" t="s">
        <v>12</v>
      </c>
      <c r="C517" s="2" t="s">
        <v>11</v>
      </c>
    </row>
    <row r="518" customFormat="false" ht="15" hidden="false" customHeight="true" outlineLevel="0" collapsed="false">
      <c r="A518" s="8" t="n">
        <v>52022</v>
      </c>
      <c r="B518" s="2" t="s">
        <v>12</v>
      </c>
      <c r="C518" s="2" t="s">
        <v>13</v>
      </c>
    </row>
    <row r="519" customFormat="false" ht="15" hidden="false" customHeight="true" outlineLevel="0" collapsed="false">
      <c r="A519" s="8" t="n">
        <v>52116</v>
      </c>
      <c r="B519" s="2" t="s">
        <v>19</v>
      </c>
      <c r="C519" s="2" t="s">
        <v>14</v>
      </c>
    </row>
    <row r="520" customFormat="false" ht="15" hidden="false" customHeight="true" outlineLevel="0" collapsed="false">
      <c r="A520" s="8" t="n">
        <v>52151</v>
      </c>
      <c r="B520" s="2" t="s">
        <v>19</v>
      </c>
      <c r="C520" s="2" t="s">
        <v>15</v>
      </c>
    </row>
    <row r="521" customFormat="false" ht="15" hidden="false" customHeight="true" outlineLevel="0" collapsed="false">
      <c r="A521" s="8" t="n">
        <v>52172</v>
      </c>
      <c r="B521" s="2" t="s">
        <v>19</v>
      </c>
      <c r="C521" s="2" t="s">
        <v>16</v>
      </c>
    </row>
    <row r="522" customFormat="false" ht="15" hidden="false" customHeight="true" outlineLevel="0" collapsed="false">
      <c r="A522" s="8" t="n">
        <v>52185</v>
      </c>
      <c r="B522" s="2" t="s">
        <v>9</v>
      </c>
      <c r="C522" s="2" t="s">
        <v>17</v>
      </c>
    </row>
    <row r="523" customFormat="false" ht="15" hidden="false" customHeight="true" outlineLevel="0" collapsed="false">
      <c r="A523" s="8" t="n">
        <v>52190</v>
      </c>
      <c r="B523" s="2" t="s">
        <v>12</v>
      </c>
      <c r="C523" s="2" t="s">
        <v>21</v>
      </c>
      <c r="G523" s="9"/>
    </row>
    <row r="524" customFormat="false" ht="15" hidden="false" customHeight="true" outlineLevel="0" collapsed="false">
      <c r="A524" s="8" t="n">
        <v>52225</v>
      </c>
      <c r="B524" s="2" t="s">
        <v>12</v>
      </c>
      <c r="C524" s="2" t="s">
        <v>18</v>
      </c>
    </row>
    <row r="525" customFormat="false" ht="15" hidden="false" customHeight="true" outlineLevel="0" collapsed="false">
      <c r="A525" s="6" t="n">
        <v>52232</v>
      </c>
      <c r="B525" s="7" t="s">
        <v>12</v>
      </c>
      <c r="C525" s="7" t="s">
        <v>4</v>
      </c>
    </row>
    <row r="526" customFormat="false" ht="15" hidden="false" customHeight="true" outlineLevel="0" collapsed="false">
      <c r="A526" s="6" t="n">
        <v>52271</v>
      </c>
      <c r="B526" s="7" t="s">
        <v>3</v>
      </c>
      <c r="C526" s="7" t="s">
        <v>5</v>
      </c>
    </row>
    <row r="527" customFormat="false" ht="15" hidden="false" customHeight="true" outlineLevel="0" collapsed="false">
      <c r="A527" s="6" t="n">
        <v>52272</v>
      </c>
      <c r="B527" s="7" t="s">
        <v>6</v>
      </c>
      <c r="C527" s="7" t="s">
        <v>5</v>
      </c>
    </row>
    <row r="528" customFormat="false" ht="15" hidden="false" customHeight="true" outlineLevel="0" collapsed="false">
      <c r="A528" s="6" t="n">
        <v>52317</v>
      </c>
      <c r="B528" s="7" t="s">
        <v>7</v>
      </c>
      <c r="C528" s="7" t="s">
        <v>8</v>
      </c>
    </row>
    <row r="529" customFormat="false" ht="15" hidden="false" customHeight="true" outlineLevel="0" collapsed="false">
      <c r="A529" s="6" t="n">
        <v>52342</v>
      </c>
      <c r="B529" s="7" t="s">
        <v>6</v>
      </c>
      <c r="C529" s="7" t="s">
        <v>10</v>
      </c>
    </row>
    <row r="530" customFormat="false" ht="15" hidden="false" customHeight="true" outlineLevel="0" collapsed="false">
      <c r="A530" s="6" t="n">
        <v>52352</v>
      </c>
      <c r="B530" s="7" t="s">
        <v>7</v>
      </c>
      <c r="C530" s="7" t="s">
        <v>11</v>
      </c>
    </row>
    <row r="531" customFormat="false" ht="15" hidden="false" customHeight="true" outlineLevel="0" collapsed="false">
      <c r="A531" s="6" t="n">
        <v>52379</v>
      </c>
      <c r="B531" s="7" t="s">
        <v>12</v>
      </c>
      <c r="C531" s="7" t="s">
        <v>13</v>
      </c>
    </row>
    <row r="532" customFormat="false" ht="15" hidden="false" customHeight="true" outlineLevel="0" collapsed="false">
      <c r="A532" s="6" t="n">
        <v>52481</v>
      </c>
      <c r="B532" s="7" t="s">
        <v>3</v>
      </c>
      <c r="C532" s="7" t="s">
        <v>14</v>
      </c>
    </row>
    <row r="533" customFormat="false" ht="15" hidden="false" customHeight="true" outlineLevel="0" collapsed="false">
      <c r="A533" s="6" t="n">
        <v>52516</v>
      </c>
      <c r="B533" s="7" t="s">
        <v>3</v>
      </c>
      <c r="C533" s="7" t="s">
        <v>15</v>
      </c>
    </row>
    <row r="534" customFormat="false" ht="15" hidden="false" customHeight="true" outlineLevel="0" collapsed="false">
      <c r="A534" s="6" t="n">
        <v>52537</v>
      </c>
      <c r="B534" s="7" t="s">
        <v>3</v>
      </c>
      <c r="C534" s="7" t="s">
        <v>16</v>
      </c>
    </row>
    <row r="535" customFormat="false" ht="15" hidden="false" customHeight="true" outlineLevel="0" collapsed="false">
      <c r="A535" s="6" t="n">
        <v>52550</v>
      </c>
      <c r="B535" s="7" t="s">
        <v>19</v>
      </c>
      <c r="C535" s="7" t="s">
        <v>17</v>
      </c>
    </row>
    <row r="536" customFormat="false" ht="15" hidden="false" customHeight="true" outlineLevel="0" collapsed="false">
      <c r="A536" s="6" t="n">
        <v>52555</v>
      </c>
      <c r="B536" s="7" t="s">
        <v>7</v>
      </c>
      <c r="C536" s="7" t="s">
        <v>21</v>
      </c>
      <c r="G536" s="9"/>
    </row>
    <row r="537" customFormat="false" ht="15" hidden="false" customHeight="true" outlineLevel="0" collapsed="false">
      <c r="A537" s="6" t="n">
        <v>52590</v>
      </c>
      <c r="B537" s="7" t="s">
        <v>7</v>
      </c>
      <c r="C537" s="7" t="s">
        <v>18</v>
      </c>
    </row>
    <row r="538" customFormat="false" ht="15" hidden="false" customHeight="true" outlineLevel="0" collapsed="false">
      <c r="A538" s="8" t="n">
        <v>52597</v>
      </c>
      <c r="B538" s="2" t="s">
        <v>7</v>
      </c>
      <c r="C538" s="2" t="s">
        <v>4</v>
      </c>
    </row>
    <row r="539" customFormat="false" ht="15" hidden="false" customHeight="true" outlineLevel="0" collapsed="false">
      <c r="A539" s="8" t="n">
        <v>52656</v>
      </c>
      <c r="B539" s="2" t="s">
        <v>3</v>
      </c>
      <c r="C539" s="2" t="s">
        <v>5</v>
      </c>
    </row>
    <row r="540" customFormat="false" ht="15" hidden="false" customHeight="true" outlineLevel="0" collapsed="false">
      <c r="A540" s="8" t="n">
        <v>52657</v>
      </c>
      <c r="B540" s="2" t="s">
        <v>6</v>
      </c>
      <c r="C540" s="2" t="s">
        <v>5</v>
      </c>
    </row>
    <row r="541" customFormat="false" ht="15" hidden="false" customHeight="true" outlineLevel="0" collapsed="false">
      <c r="A541" s="8" t="n">
        <v>52702</v>
      </c>
      <c r="B541" s="2" t="s">
        <v>7</v>
      </c>
      <c r="C541" s="2" t="s">
        <v>8</v>
      </c>
    </row>
    <row r="542" customFormat="false" ht="15" hidden="false" customHeight="true" outlineLevel="0" collapsed="false">
      <c r="A542" s="8" t="n">
        <v>52708</v>
      </c>
      <c r="B542" s="2" t="s">
        <v>12</v>
      </c>
      <c r="C542" s="2" t="s">
        <v>10</v>
      </c>
    </row>
    <row r="543" customFormat="false" ht="15" hidden="false" customHeight="true" outlineLevel="0" collapsed="false">
      <c r="A543" s="8" t="n">
        <v>52718</v>
      </c>
      <c r="B543" s="2" t="s">
        <v>19</v>
      </c>
      <c r="C543" s="2" t="s">
        <v>11</v>
      </c>
    </row>
    <row r="544" customFormat="false" ht="15" hidden="false" customHeight="true" outlineLevel="0" collapsed="false">
      <c r="A544" s="8" t="n">
        <v>52764</v>
      </c>
      <c r="B544" s="2" t="s">
        <v>12</v>
      </c>
      <c r="C544" s="2" t="s">
        <v>13</v>
      </c>
    </row>
    <row r="545" customFormat="false" ht="15" hidden="false" customHeight="true" outlineLevel="0" collapsed="false">
      <c r="A545" s="8" t="n">
        <v>52847</v>
      </c>
      <c r="B545" s="2" t="s">
        <v>20</v>
      </c>
      <c r="C545" s="2" t="s">
        <v>14</v>
      </c>
    </row>
    <row r="546" customFormat="false" ht="15" hidden="false" customHeight="true" outlineLevel="0" collapsed="false">
      <c r="A546" s="8" t="n">
        <v>52882</v>
      </c>
      <c r="B546" s="2" t="s">
        <v>20</v>
      </c>
      <c r="C546" s="2" t="s">
        <v>15</v>
      </c>
    </row>
    <row r="547" customFormat="false" ht="15" hidden="false" customHeight="true" outlineLevel="0" collapsed="false">
      <c r="A547" s="8" t="n">
        <v>52903</v>
      </c>
      <c r="B547" s="2" t="s">
        <v>20</v>
      </c>
      <c r="C547" s="2" t="s">
        <v>16</v>
      </c>
    </row>
    <row r="548" customFormat="false" ht="15" hidden="false" customHeight="true" outlineLevel="0" collapsed="false">
      <c r="A548" s="8" t="n">
        <v>52916</v>
      </c>
      <c r="B548" s="2" t="s">
        <v>6</v>
      </c>
      <c r="C548" s="2" t="s">
        <v>17</v>
      </c>
    </row>
    <row r="549" customFormat="false" ht="15" hidden="false" customHeight="true" outlineLevel="0" collapsed="false">
      <c r="A549" s="8" t="n">
        <v>52921</v>
      </c>
      <c r="B549" s="2" t="s">
        <v>19</v>
      </c>
      <c r="C549" s="2" t="s">
        <v>21</v>
      </c>
      <c r="G549" s="9"/>
    </row>
    <row r="550" customFormat="false" ht="15" hidden="false" customHeight="true" outlineLevel="0" collapsed="false">
      <c r="A550" s="8" t="n">
        <v>52956</v>
      </c>
      <c r="B550" s="2" t="s">
        <v>19</v>
      </c>
      <c r="C550" s="2" t="s">
        <v>18</v>
      </c>
    </row>
    <row r="551" customFormat="false" ht="15" hidden="false" customHeight="true" outlineLevel="0" collapsed="false">
      <c r="A551" s="6" t="n">
        <v>52963</v>
      </c>
      <c r="B551" s="7" t="s">
        <v>19</v>
      </c>
      <c r="C551" s="7" t="s">
        <v>4</v>
      </c>
    </row>
    <row r="552" customFormat="false" ht="15" hidden="false" customHeight="true" outlineLevel="0" collapsed="false">
      <c r="A552" s="6" t="n">
        <v>53013</v>
      </c>
      <c r="B552" s="7" t="s">
        <v>3</v>
      </c>
      <c r="C552" s="7" t="s">
        <v>5</v>
      </c>
    </row>
    <row r="553" customFormat="false" ht="15" hidden="false" customHeight="true" outlineLevel="0" collapsed="false">
      <c r="A553" s="6" t="n">
        <v>53014</v>
      </c>
      <c r="B553" s="7" t="s">
        <v>6</v>
      </c>
      <c r="C553" s="7" t="s">
        <v>5</v>
      </c>
    </row>
    <row r="554" customFormat="false" ht="15" hidden="false" customHeight="true" outlineLevel="0" collapsed="false">
      <c r="A554" s="6" t="n">
        <v>53059</v>
      </c>
      <c r="B554" s="7" t="s">
        <v>7</v>
      </c>
      <c r="C554" s="7" t="s">
        <v>8</v>
      </c>
    </row>
    <row r="555" customFormat="false" ht="15" hidden="false" customHeight="true" outlineLevel="0" collapsed="false">
      <c r="A555" s="6" t="n">
        <v>53073</v>
      </c>
      <c r="B555" s="7" t="s">
        <v>7</v>
      </c>
      <c r="C555" s="7" t="s">
        <v>10</v>
      </c>
    </row>
    <row r="556" customFormat="false" ht="15" hidden="false" customHeight="true" outlineLevel="0" collapsed="false">
      <c r="A556" s="6" t="n">
        <v>53083</v>
      </c>
      <c r="B556" s="7" t="s">
        <v>3</v>
      </c>
      <c r="C556" s="7" t="s">
        <v>11</v>
      </c>
    </row>
    <row r="557" customFormat="false" ht="15" hidden="false" customHeight="true" outlineLevel="0" collapsed="false">
      <c r="A557" s="6" t="n">
        <v>53121</v>
      </c>
      <c r="B557" s="7" t="s">
        <v>12</v>
      </c>
      <c r="C557" s="7" t="s">
        <v>13</v>
      </c>
    </row>
    <row r="558" customFormat="false" ht="15" hidden="false" customHeight="true" outlineLevel="0" collapsed="false">
      <c r="A558" s="6" t="n">
        <v>53212</v>
      </c>
      <c r="B558" s="7" t="s">
        <v>12</v>
      </c>
      <c r="C558" s="7" t="s">
        <v>14</v>
      </c>
    </row>
    <row r="559" customFormat="false" ht="15" hidden="false" customHeight="true" outlineLevel="0" collapsed="false">
      <c r="A559" s="6" t="n">
        <v>53247</v>
      </c>
      <c r="B559" s="7" t="s">
        <v>12</v>
      </c>
      <c r="C559" s="7" t="s">
        <v>15</v>
      </c>
    </row>
    <row r="560" customFormat="false" ht="15" hidden="false" customHeight="true" outlineLevel="0" collapsed="false">
      <c r="A560" s="6" t="n">
        <v>53268</v>
      </c>
      <c r="B560" s="7" t="s">
        <v>12</v>
      </c>
      <c r="C560" s="7" t="s">
        <v>16</v>
      </c>
    </row>
    <row r="561" customFormat="false" ht="15" hidden="false" customHeight="true" outlineLevel="0" collapsed="false">
      <c r="A561" s="6" t="n">
        <v>53281</v>
      </c>
      <c r="B561" s="7" t="s">
        <v>20</v>
      </c>
      <c r="C561" s="7" t="s">
        <v>17</v>
      </c>
    </row>
    <row r="562" customFormat="false" ht="15" hidden="false" customHeight="true" outlineLevel="0" collapsed="false">
      <c r="A562" s="6" t="n">
        <v>53286</v>
      </c>
      <c r="B562" s="7" t="s">
        <v>3</v>
      </c>
      <c r="C562" s="7" t="s">
        <v>21</v>
      </c>
      <c r="G562" s="9"/>
    </row>
    <row r="563" customFormat="false" ht="15" hidden="false" customHeight="true" outlineLevel="0" collapsed="false">
      <c r="A563" s="6" t="n">
        <v>53321</v>
      </c>
      <c r="B563" s="7" t="s">
        <v>3</v>
      </c>
      <c r="C563" s="7" t="s">
        <v>18</v>
      </c>
    </row>
    <row r="564" customFormat="false" ht="15" hidden="false" customHeight="true" outlineLevel="0" collapsed="false">
      <c r="A564" s="8" t="n">
        <v>53328</v>
      </c>
      <c r="B564" s="2" t="s">
        <v>3</v>
      </c>
      <c r="C564" s="2" t="s">
        <v>4</v>
      </c>
    </row>
    <row r="565" customFormat="false" ht="15" hidden="false" customHeight="true" outlineLevel="0" collapsed="false">
      <c r="A565" s="8" t="n">
        <v>53363</v>
      </c>
      <c r="B565" s="2" t="s">
        <v>3</v>
      </c>
      <c r="C565" s="2" t="s">
        <v>5</v>
      </c>
    </row>
    <row r="566" customFormat="false" ht="15" hidden="false" customHeight="true" outlineLevel="0" collapsed="false">
      <c r="A566" s="8" t="n">
        <v>53364</v>
      </c>
      <c r="B566" s="2" t="s">
        <v>6</v>
      </c>
      <c r="C566" s="2" t="s">
        <v>5</v>
      </c>
    </row>
    <row r="567" customFormat="false" ht="15" hidden="false" customHeight="true" outlineLevel="0" collapsed="false">
      <c r="A567" s="8" t="n">
        <v>53409</v>
      </c>
      <c r="B567" s="2" t="s">
        <v>7</v>
      </c>
      <c r="C567" s="2" t="s">
        <v>8</v>
      </c>
    </row>
    <row r="568" customFormat="false" ht="15" hidden="false" customHeight="true" outlineLevel="0" collapsed="false">
      <c r="A568" s="8" t="n">
        <v>53438</v>
      </c>
      <c r="B568" s="2" t="s">
        <v>9</v>
      </c>
      <c r="C568" s="2" t="s">
        <v>10</v>
      </c>
    </row>
    <row r="569" customFormat="false" ht="15" hidden="false" customHeight="true" outlineLevel="0" collapsed="false">
      <c r="A569" s="8" t="n">
        <v>53448</v>
      </c>
      <c r="B569" s="2" t="s">
        <v>6</v>
      </c>
      <c r="C569" s="2" t="s">
        <v>11</v>
      </c>
    </row>
    <row r="570" customFormat="false" ht="15" hidden="false" customHeight="true" outlineLevel="0" collapsed="false">
      <c r="A570" s="8" t="n">
        <v>53471</v>
      </c>
      <c r="B570" s="2" t="s">
        <v>12</v>
      </c>
      <c r="C570" s="2" t="s">
        <v>13</v>
      </c>
    </row>
    <row r="571" customFormat="false" ht="15" hidden="false" customHeight="true" outlineLevel="0" collapsed="false">
      <c r="A571" s="8" t="n">
        <v>53577</v>
      </c>
      <c r="B571" s="2" t="s">
        <v>7</v>
      </c>
      <c r="C571" s="2" t="s">
        <v>14</v>
      </c>
    </row>
    <row r="572" customFormat="false" ht="15" hidden="false" customHeight="true" outlineLevel="0" collapsed="false">
      <c r="A572" s="8" t="n">
        <v>53612</v>
      </c>
      <c r="B572" s="2" t="s">
        <v>7</v>
      </c>
      <c r="C572" s="2" t="s">
        <v>15</v>
      </c>
    </row>
    <row r="573" customFormat="false" ht="15" hidden="false" customHeight="true" outlineLevel="0" collapsed="false">
      <c r="A573" s="8" t="n">
        <v>53633</v>
      </c>
      <c r="B573" s="2" t="s">
        <v>7</v>
      </c>
      <c r="C573" s="2" t="s">
        <v>16</v>
      </c>
    </row>
    <row r="574" customFormat="false" ht="15" hidden="false" customHeight="true" outlineLevel="0" collapsed="false">
      <c r="A574" s="8" t="n">
        <v>53646</v>
      </c>
      <c r="B574" s="2" t="s">
        <v>12</v>
      </c>
      <c r="C574" s="2" t="s">
        <v>17</v>
      </c>
    </row>
    <row r="575" customFormat="false" ht="15" hidden="false" customHeight="true" outlineLevel="0" collapsed="false">
      <c r="A575" s="8" t="n">
        <v>53651</v>
      </c>
      <c r="B575" s="2" t="s">
        <v>6</v>
      </c>
      <c r="C575" s="2" t="s">
        <v>21</v>
      </c>
      <c r="G575" s="9"/>
    </row>
    <row r="576" customFormat="false" ht="15" hidden="false" customHeight="true" outlineLevel="0" collapsed="false">
      <c r="A576" s="8" t="n">
        <v>53686</v>
      </c>
      <c r="B576" s="2" t="s">
        <v>6</v>
      </c>
      <c r="C576" s="2" t="s">
        <v>18</v>
      </c>
    </row>
    <row r="577" customFormat="false" ht="15" hidden="false" customHeight="true" outlineLevel="0" collapsed="false">
      <c r="A577" s="6" t="n">
        <v>53693</v>
      </c>
      <c r="B577" s="7" t="s">
        <v>6</v>
      </c>
      <c r="C577" s="7" t="s">
        <v>4</v>
      </c>
    </row>
    <row r="578" customFormat="false" ht="15" hidden="false" customHeight="true" outlineLevel="0" collapsed="false">
      <c r="A578" s="6" t="n">
        <v>53748</v>
      </c>
      <c r="B578" s="7" t="s">
        <v>3</v>
      </c>
      <c r="C578" s="7" t="s">
        <v>5</v>
      </c>
    </row>
    <row r="579" customFormat="false" ht="15" hidden="false" customHeight="true" outlineLevel="0" collapsed="false">
      <c r="A579" s="6" t="n">
        <v>53749</v>
      </c>
      <c r="B579" s="7" t="s">
        <v>6</v>
      </c>
      <c r="C579" s="7" t="s">
        <v>5</v>
      </c>
    </row>
    <row r="580" customFormat="false" ht="15" hidden="false" customHeight="true" outlineLevel="0" collapsed="false">
      <c r="A580" s="6" t="n">
        <v>53794</v>
      </c>
      <c r="B580" s="7" t="s">
        <v>7</v>
      </c>
      <c r="C580" s="7" t="s">
        <v>8</v>
      </c>
    </row>
    <row r="581" customFormat="false" ht="15" hidden="false" customHeight="true" outlineLevel="0" collapsed="false">
      <c r="A581" s="6" t="n">
        <v>53803</v>
      </c>
      <c r="B581" s="7" t="s">
        <v>19</v>
      </c>
      <c r="C581" s="7" t="s">
        <v>10</v>
      </c>
    </row>
    <row r="582" customFormat="false" ht="15" hidden="false" customHeight="true" outlineLevel="0" collapsed="false">
      <c r="A582" s="6" t="n">
        <v>53813</v>
      </c>
      <c r="B582" s="7" t="s">
        <v>20</v>
      </c>
      <c r="C582" s="7" t="s">
        <v>11</v>
      </c>
    </row>
    <row r="583" customFormat="false" ht="15" hidden="false" customHeight="true" outlineLevel="0" collapsed="false">
      <c r="A583" s="6" t="n">
        <v>53856</v>
      </c>
      <c r="B583" s="7" t="s">
        <v>12</v>
      </c>
      <c r="C583" s="7" t="s">
        <v>13</v>
      </c>
    </row>
    <row r="584" customFormat="false" ht="15" hidden="false" customHeight="true" outlineLevel="0" collapsed="false">
      <c r="A584" s="6" t="n">
        <v>53942</v>
      </c>
      <c r="B584" s="7" t="s">
        <v>9</v>
      </c>
      <c r="C584" s="7" t="s">
        <v>14</v>
      </c>
    </row>
    <row r="585" customFormat="false" ht="15" hidden="false" customHeight="true" outlineLevel="0" collapsed="false">
      <c r="A585" s="6" t="n">
        <v>53977</v>
      </c>
      <c r="B585" s="7" t="s">
        <v>9</v>
      </c>
      <c r="C585" s="7" t="s">
        <v>15</v>
      </c>
    </row>
    <row r="586" customFormat="false" ht="15" hidden="false" customHeight="true" outlineLevel="0" collapsed="false">
      <c r="A586" s="6" t="n">
        <v>53998</v>
      </c>
      <c r="B586" s="7" t="s">
        <v>9</v>
      </c>
      <c r="C586" s="7" t="s">
        <v>16</v>
      </c>
    </row>
    <row r="587" customFormat="false" ht="15" hidden="false" customHeight="true" outlineLevel="0" collapsed="false">
      <c r="A587" s="6" t="n">
        <v>54011</v>
      </c>
      <c r="B587" s="7" t="s">
        <v>7</v>
      </c>
      <c r="C587" s="7" t="s">
        <v>17</v>
      </c>
    </row>
    <row r="588" customFormat="false" ht="15" hidden="false" customHeight="true" outlineLevel="0" collapsed="false">
      <c r="A588" s="6" t="n">
        <v>54016</v>
      </c>
      <c r="B588" s="7" t="s">
        <v>20</v>
      </c>
      <c r="C588" s="7" t="s">
        <v>21</v>
      </c>
      <c r="G588" s="9"/>
    </row>
    <row r="589" customFormat="false" ht="15" hidden="false" customHeight="true" outlineLevel="0" collapsed="false">
      <c r="A589" s="6" t="n">
        <v>54051</v>
      </c>
      <c r="B589" s="7" t="s">
        <v>20</v>
      </c>
      <c r="C589" s="7" t="s">
        <v>18</v>
      </c>
    </row>
    <row r="590" customFormat="false" ht="15" hidden="false" customHeight="true" outlineLevel="0" collapsed="false">
      <c r="A590" s="8" t="n">
        <v>54058</v>
      </c>
      <c r="B590" s="2" t="s">
        <v>20</v>
      </c>
      <c r="C590" s="2" t="s">
        <v>4</v>
      </c>
    </row>
    <row r="591" customFormat="false" ht="15" hidden="false" customHeight="true" outlineLevel="0" collapsed="false">
      <c r="A591" s="8" t="n">
        <v>54105</v>
      </c>
      <c r="B591" s="2" t="s">
        <v>3</v>
      </c>
      <c r="C591" s="2" t="s">
        <v>5</v>
      </c>
    </row>
    <row r="592" customFormat="false" ht="15" hidden="false" customHeight="true" outlineLevel="0" collapsed="false">
      <c r="A592" s="8" t="n">
        <v>54106</v>
      </c>
      <c r="B592" s="2" t="s">
        <v>6</v>
      </c>
      <c r="C592" s="2" t="s">
        <v>5</v>
      </c>
    </row>
    <row r="593" customFormat="false" ht="15" hidden="false" customHeight="true" outlineLevel="0" collapsed="false">
      <c r="A593" s="8" t="n">
        <v>54151</v>
      </c>
      <c r="B593" s="2" t="s">
        <v>7</v>
      </c>
      <c r="C593" s="2" t="s">
        <v>8</v>
      </c>
    </row>
    <row r="594" customFormat="false" ht="15" hidden="false" customHeight="true" outlineLevel="0" collapsed="false">
      <c r="A594" s="8" t="n">
        <v>54169</v>
      </c>
      <c r="B594" s="2" t="s">
        <v>6</v>
      </c>
      <c r="C594" s="2" t="s">
        <v>10</v>
      </c>
    </row>
    <row r="595" customFormat="false" ht="15" hidden="false" customHeight="true" outlineLevel="0" collapsed="false">
      <c r="A595" s="8" t="n">
        <v>54179</v>
      </c>
      <c r="B595" s="2" t="s">
        <v>7</v>
      </c>
      <c r="C595" s="2" t="s">
        <v>11</v>
      </c>
    </row>
    <row r="596" customFormat="false" ht="15" hidden="false" customHeight="true" outlineLevel="0" collapsed="false">
      <c r="A596" s="8" t="n">
        <v>54213</v>
      </c>
      <c r="B596" s="2" t="s">
        <v>12</v>
      </c>
      <c r="C596" s="2" t="s">
        <v>13</v>
      </c>
    </row>
    <row r="597" customFormat="false" ht="15" hidden="false" customHeight="true" outlineLevel="0" collapsed="false">
      <c r="A597" s="8" t="n">
        <v>54308</v>
      </c>
      <c r="B597" s="2" t="s">
        <v>3</v>
      </c>
      <c r="C597" s="2" t="s">
        <v>14</v>
      </c>
    </row>
    <row r="598" customFormat="false" ht="15" hidden="false" customHeight="true" outlineLevel="0" collapsed="false">
      <c r="A598" s="8" t="n">
        <v>54343</v>
      </c>
      <c r="B598" s="2" t="s">
        <v>3</v>
      </c>
      <c r="C598" s="2" t="s">
        <v>15</v>
      </c>
    </row>
    <row r="599" customFormat="false" ht="15" hidden="false" customHeight="true" outlineLevel="0" collapsed="false">
      <c r="A599" s="8" t="n">
        <v>54364</v>
      </c>
      <c r="B599" s="2" t="s">
        <v>3</v>
      </c>
      <c r="C599" s="2" t="s">
        <v>16</v>
      </c>
    </row>
    <row r="600" customFormat="false" ht="15" hidden="false" customHeight="true" outlineLevel="0" collapsed="false">
      <c r="A600" s="8" t="n">
        <v>54377</v>
      </c>
      <c r="B600" s="2" t="s">
        <v>19</v>
      </c>
      <c r="C600" s="2" t="s">
        <v>17</v>
      </c>
    </row>
    <row r="601" customFormat="false" ht="15" hidden="false" customHeight="true" outlineLevel="0" collapsed="false">
      <c r="A601" s="8" t="n">
        <v>54382</v>
      </c>
      <c r="B601" s="2" t="s">
        <v>7</v>
      </c>
      <c r="C601" s="2" t="s">
        <v>21</v>
      </c>
      <c r="G601" s="9"/>
    </row>
    <row r="602" customFormat="false" ht="15" hidden="false" customHeight="true" outlineLevel="0" collapsed="false">
      <c r="A602" s="8" t="n">
        <v>54417</v>
      </c>
      <c r="B602" s="2" t="s">
        <v>7</v>
      </c>
      <c r="C602" s="2" t="s">
        <v>18</v>
      </c>
    </row>
    <row r="603" customFormat="false" ht="15" hidden="false" customHeight="true" outlineLevel="0" collapsed="false">
      <c r="A603" s="6" t="n">
        <v>54424</v>
      </c>
      <c r="B603" s="7" t="s">
        <v>7</v>
      </c>
      <c r="C603" s="7" t="s">
        <v>4</v>
      </c>
    </row>
    <row r="604" customFormat="false" ht="15" hidden="false" customHeight="true" outlineLevel="0" collapsed="false">
      <c r="A604" s="6" t="n">
        <v>54483</v>
      </c>
      <c r="B604" s="7" t="s">
        <v>3</v>
      </c>
      <c r="C604" s="7" t="s">
        <v>5</v>
      </c>
    </row>
    <row r="605" customFormat="false" ht="15" hidden="false" customHeight="true" outlineLevel="0" collapsed="false">
      <c r="A605" s="6" t="n">
        <v>54484</v>
      </c>
      <c r="B605" s="7" t="s">
        <v>6</v>
      </c>
      <c r="C605" s="7" t="s">
        <v>5</v>
      </c>
    </row>
    <row r="606" customFormat="false" ht="15" hidden="false" customHeight="true" outlineLevel="0" collapsed="false">
      <c r="A606" s="6" t="n">
        <v>54529</v>
      </c>
      <c r="B606" s="7" t="s">
        <v>7</v>
      </c>
      <c r="C606" s="7" t="s">
        <v>8</v>
      </c>
    </row>
    <row r="607" customFormat="false" ht="15" hidden="false" customHeight="true" outlineLevel="0" collapsed="false">
      <c r="A607" s="6" t="n">
        <v>54534</v>
      </c>
      <c r="B607" s="7" t="s">
        <v>20</v>
      </c>
      <c r="C607" s="7" t="s">
        <v>10</v>
      </c>
    </row>
    <row r="608" customFormat="false" ht="15" hidden="false" customHeight="true" outlineLevel="0" collapsed="false">
      <c r="A608" s="6" t="n">
        <v>54544</v>
      </c>
      <c r="B608" s="7" t="s">
        <v>9</v>
      </c>
      <c r="C608" s="7" t="s">
        <v>11</v>
      </c>
    </row>
    <row r="609" customFormat="false" ht="15" hidden="false" customHeight="true" outlineLevel="0" collapsed="false">
      <c r="A609" s="6" t="n">
        <v>54591</v>
      </c>
      <c r="B609" s="7" t="s">
        <v>12</v>
      </c>
      <c r="C609" s="7" t="s">
        <v>13</v>
      </c>
    </row>
    <row r="610" customFormat="false" ht="15" hidden="false" customHeight="true" outlineLevel="0" collapsed="false">
      <c r="A610" s="6" t="n">
        <v>54673</v>
      </c>
      <c r="B610" s="7" t="s">
        <v>6</v>
      </c>
      <c r="C610" s="7" t="s">
        <v>14</v>
      </c>
    </row>
    <row r="611" customFormat="false" ht="15" hidden="false" customHeight="true" outlineLevel="0" collapsed="false">
      <c r="A611" s="6" t="n">
        <v>54708</v>
      </c>
      <c r="B611" s="7" t="s">
        <v>6</v>
      </c>
      <c r="C611" s="7" t="s">
        <v>15</v>
      </c>
    </row>
    <row r="612" customFormat="false" ht="15" hidden="false" customHeight="true" outlineLevel="0" collapsed="false">
      <c r="A612" s="6" t="n">
        <v>54729</v>
      </c>
      <c r="B612" s="7" t="s">
        <v>6</v>
      </c>
      <c r="C612" s="7" t="s">
        <v>16</v>
      </c>
    </row>
    <row r="613" customFormat="false" ht="15" hidden="false" customHeight="true" outlineLevel="0" collapsed="false">
      <c r="A613" s="6" t="n">
        <v>54742</v>
      </c>
      <c r="B613" s="7" t="s">
        <v>3</v>
      </c>
      <c r="C613" s="7" t="s">
        <v>17</v>
      </c>
    </row>
    <row r="614" customFormat="false" ht="15" hidden="false" customHeight="true" outlineLevel="0" collapsed="false">
      <c r="A614" s="6" t="n">
        <v>54747</v>
      </c>
      <c r="B614" s="7" t="s">
        <v>9</v>
      </c>
      <c r="C614" s="7" t="s">
        <v>21</v>
      </c>
      <c r="G614" s="9"/>
    </row>
    <row r="615" customFormat="false" ht="15" hidden="false" customHeight="true" outlineLevel="0" collapsed="false">
      <c r="A615" s="6" t="n">
        <v>54782</v>
      </c>
      <c r="B615" s="7" t="s">
        <v>9</v>
      </c>
      <c r="C615" s="7" t="s">
        <v>18</v>
      </c>
    </row>
    <row r="616" customFormat="false" ht="15" hidden="false" customHeight="true" outlineLevel="0" collapsed="false">
      <c r="A616" s="8" t="n">
        <v>54789</v>
      </c>
      <c r="B616" s="2" t="s">
        <v>9</v>
      </c>
      <c r="C616" s="2" t="s">
        <v>4</v>
      </c>
    </row>
    <row r="617" customFormat="false" ht="15" hidden="false" customHeight="true" outlineLevel="0" collapsed="false">
      <c r="A617" s="8" t="n">
        <v>54840</v>
      </c>
      <c r="B617" s="2" t="s">
        <v>3</v>
      </c>
      <c r="C617" s="2" t="s">
        <v>5</v>
      </c>
    </row>
    <row r="618" customFormat="false" ht="15" hidden="false" customHeight="true" outlineLevel="0" collapsed="false">
      <c r="A618" s="8" t="n">
        <v>54841</v>
      </c>
      <c r="B618" s="2" t="s">
        <v>6</v>
      </c>
      <c r="C618" s="2" t="s">
        <v>5</v>
      </c>
    </row>
    <row r="619" customFormat="false" ht="15" hidden="false" customHeight="true" outlineLevel="0" collapsed="false">
      <c r="A619" s="8" t="n">
        <v>54886</v>
      </c>
      <c r="B619" s="2" t="s">
        <v>7</v>
      </c>
      <c r="C619" s="2" t="s">
        <v>8</v>
      </c>
    </row>
    <row r="620" customFormat="false" ht="15" hidden="false" customHeight="true" outlineLevel="0" collapsed="false">
      <c r="A620" s="8" t="n">
        <v>54899</v>
      </c>
      <c r="B620" s="2" t="s">
        <v>12</v>
      </c>
      <c r="C620" s="2" t="s">
        <v>10</v>
      </c>
    </row>
    <row r="621" customFormat="false" ht="15" hidden="false" customHeight="true" outlineLevel="0" collapsed="false">
      <c r="A621" s="8" t="n">
        <v>54909</v>
      </c>
      <c r="B621" s="2" t="s">
        <v>19</v>
      </c>
      <c r="C621" s="2" t="s">
        <v>11</v>
      </c>
    </row>
    <row r="622" customFormat="false" ht="15" hidden="false" customHeight="true" outlineLevel="0" collapsed="false">
      <c r="A622" s="8" t="n">
        <v>54948</v>
      </c>
      <c r="B622" s="2" t="s">
        <v>12</v>
      </c>
      <c r="C622" s="2" t="s">
        <v>13</v>
      </c>
    </row>
    <row r="623" customFormat="false" ht="15" hidden="false" customHeight="true" outlineLevel="0" collapsed="false">
      <c r="A623" s="8" t="n">
        <v>55038</v>
      </c>
      <c r="B623" s="2" t="s">
        <v>20</v>
      </c>
      <c r="C623" s="2" t="s">
        <v>14</v>
      </c>
    </row>
    <row r="624" customFormat="false" ht="15" hidden="false" customHeight="true" outlineLevel="0" collapsed="false">
      <c r="A624" s="8" t="n">
        <v>55073</v>
      </c>
      <c r="B624" s="2" t="s">
        <v>20</v>
      </c>
      <c r="C624" s="2" t="s">
        <v>15</v>
      </c>
    </row>
    <row r="625" customFormat="false" ht="15" hidden="false" customHeight="true" outlineLevel="0" collapsed="false">
      <c r="A625" s="8" t="n">
        <v>55094</v>
      </c>
      <c r="B625" s="2" t="s">
        <v>20</v>
      </c>
      <c r="C625" s="2" t="s">
        <v>16</v>
      </c>
    </row>
    <row r="626" customFormat="false" ht="15" hidden="false" customHeight="true" outlineLevel="0" collapsed="false">
      <c r="A626" s="8" t="n">
        <v>55107</v>
      </c>
      <c r="B626" s="2" t="s">
        <v>6</v>
      </c>
      <c r="C626" s="2" t="s">
        <v>17</v>
      </c>
    </row>
    <row r="627" customFormat="false" ht="15" hidden="false" customHeight="true" outlineLevel="0" collapsed="false">
      <c r="A627" s="8" t="n">
        <v>55112</v>
      </c>
      <c r="B627" s="2" t="s">
        <v>19</v>
      </c>
      <c r="C627" s="2" t="s">
        <v>21</v>
      </c>
      <c r="G627" s="9"/>
    </row>
    <row r="628" customFormat="false" ht="15" hidden="false" customHeight="true" outlineLevel="0" collapsed="false">
      <c r="A628" s="8" t="n">
        <v>55147</v>
      </c>
      <c r="B628" s="2" t="s">
        <v>19</v>
      </c>
      <c r="C628" s="2" t="s">
        <v>18</v>
      </c>
    </row>
    <row r="629" customFormat="false" ht="15" hidden="false" customHeight="true" outlineLevel="0" collapsed="false">
      <c r="A629" s="6" t="n">
        <v>55154</v>
      </c>
      <c r="B629" s="7" t="s">
        <v>19</v>
      </c>
      <c r="C629" s="7" t="s">
        <v>4</v>
      </c>
    </row>
    <row r="630" customFormat="false" ht="15" hidden="false" customHeight="true" outlineLevel="0" collapsed="false">
      <c r="A630" s="6" t="n">
        <v>55197</v>
      </c>
      <c r="B630" s="7" t="s">
        <v>3</v>
      </c>
      <c r="C630" s="7" t="s">
        <v>5</v>
      </c>
    </row>
    <row r="631" customFormat="false" ht="15" hidden="false" customHeight="true" outlineLevel="0" collapsed="false">
      <c r="A631" s="6" t="n">
        <v>55198</v>
      </c>
      <c r="B631" s="7" t="s">
        <v>6</v>
      </c>
      <c r="C631" s="7" t="s">
        <v>5</v>
      </c>
    </row>
    <row r="632" customFormat="false" ht="15" hidden="false" customHeight="true" outlineLevel="0" collapsed="false">
      <c r="A632" s="6" t="n">
        <v>55243</v>
      </c>
      <c r="B632" s="7" t="s">
        <v>7</v>
      </c>
      <c r="C632" s="7" t="s">
        <v>8</v>
      </c>
    </row>
    <row r="633" customFormat="false" ht="15" hidden="false" customHeight="true" outlineLevel="0" collapsed="false">
      <c r="A633" s="6" t="n">
        <v>55264</v>
      </c>
      <c r="B633" s="7" t="s">
        <v>7</v>
      </c>
      <c r="C633" s="7" t="s">
        <v>10</v>
      </c>
    </row>
    <row r="634" customFormat="false" ht="15" hidden="false" customHeight="true" outlineLevel="0" collapsed="false">
      <c r="A634" s="6" t="n">
        <v>55274</v>
      </c>
      <c r="B634" s="7" t="s">
        <v>3</v>
      </c>
      <c r="C634" s="7" t="s">
        <v>11</v>
      </c>
    </row>
    <row r="635" customFormat="false" ht="15" hidden="false" customHeight="true" outlineLevel="0" collapsed="false">
      <c r="A635" s="6" t="n">
        <v>55305</v>
      </c>
      <c r="B635" s="7" t="s">
        <v>12</v>
      </c>
      <c r="C635" s="7" t="s">
        <v>13</v>
      </c>
    </row>
    <row r="636" customFormat="false" ht="15" hidden="false" customHeight="true" outlineLevel="0" collapsed="false">
      <c r="A636" s="6" t="n">
        <v>55403</v>
      </c>
      <c r="B636" s="7" t="s">
        <v>12</v>
      </c>
      <c r="C636" s="7" t="s">
        <v>14</v>
      </c>
    </row>
    <row r="637" customFormat="false" ht="15" hidden="false" customHeight="true" outlineLevel="0" collapsed="false">
      <c r="A637" s="6" t="n">
        <v>55438</v>
      </c>
      <c r="B637" s="7" t="s">
        <v>12</v>
      </c>
      <c r="C637" s="7" t="s">
        <v>15</v>
      </c>
    </row>
    <row r="638" customFormat="false" ht="15" hidden="false" customHeight="true" outlineLevel="0" collapsed="false">
      <c r="A638" s="6" t="n">
        <v>55459</v>
      </c>
      <c r="B638" s="7" t="s">
        <v>12</v>
      </c>
      <c r="C638" s="7" t="s">
        <v>16</v>
      </c>
    </row>
    <row r="639" customFormat="false" ht="15" hidden="false" customHeight="true" outlineLevel="0" collapsed="false">
      <c r="A639" s="6" t="n">
        <v>55472</v>
      </c>
      <c r="B639" s="7" t="s">
        <v>20</v>
      </c>
      <c r="C639" s="7" t="s">
        <v>17</v>
      </c>
    </row>
    <row r="640" customFormat="false" ht="15" hidden="false" customHeight="true" outlineLevel="0" collapsed="false">
      <c r="A640" s="6" t="n">
        <v>55477</v>
      </c>
      <c r="B640" s="7" t="s">
        <v>3</v>
      </c>
      <c r="C640" s="7" t="s">
        <v>21</v>
      </c>
      <c r="G640" s="9"/>
    </row>
    <row r="641" customFormat="false" ht="15" hidden="false" customHeight="true" outlineLevel="0" collapsed="false">
      <c r="A641" s="6" t="n">
        <v>55512</v>
      </c>
      <c r="B641" s="7" t="s">
        <v>3</v>
      </c>
      <c r="C641" s="7" t="s">
        <v>18</v>
      </c>
    </row>
    <row r="642" customFormat="false" ht="15" hidden="false" customHeight="true" outlineLevel="0" collapsed="false">
      <c r="A642" s="8" t="n">
        <v>55519</v>
      </c>
      <c r="B642" s="2" t="s">
        <v>3</v>
      </c>
      <c r="C642" s="2" t="s">
        <v>4</v>
      </c>
    </row>
    <row r="643" customFormat="false" ht="15" hidden="false" customHeight="true" outlineLevel="0" collapsed="false">
      <c r="A643" s="8" t="n">
        <v>55582</v>
      </c>
      <c r="B643" s="2" t="s">
        <v>3</v>
      </c>
      <c r="C643" s="2" t="s">
        <v>5</v>
      </c>
    </row>
    <row r="644" customFormat="false" ht="15" hidden="false" customHeight="true" outlineLevel="0" collapsed="false">
      <c r="A644" s="8" t="n">
        <v>55583</v>
      </c>
      <c r="B644" s="2" t="s">
        <v>6</v>
      </c>
      <c r="C644" s="2" t="s">
        <v>5</v>
      </c>
    </row>
    <row r="645" customFormat="false" ht="15" hidden="false" customHeight="true" outlineLevel="0" collapsed="false">
      <c r="A645" s="8" t="n">
        <v>55628</v>
      </c>
      <c r="B645" s="2" t="s">
        <v>7</v>
      </c>
      <c r="C645" s="2" t="s">
        <v>8</v>
      </c>
    </row>
    <row r="646" customFormat="false" ht="15" hidden="false" customHeight="true" outlineLevel="0" collapsed="false">
      <c r="A646" s="8" t="n">
        <v>55630</v>
      </c>
      <c r="B646" s="2" t="s">
        <v>19</v>
      </c>
      <c r="C646" s="2" t="s">
        <v>10</v>
      </c>
    </row>
    <row r="647" customFormat="false" ht="15" hidden="false" customHeight="true" outlineLevel="0" collapsed="false">
      <c r="A647" s="8" t="n">
        <v>55640</v>
      </c>
      <c r="B647" s="2" t="s">
        <v>20</v>
      </c>
      <c r="C647" s="2" t="s">
        <v>11</v>
      </c>
    </row>
    <row r="648" customFormat="false" ht="15" hidden="false" customHeight="true" outlineLevel="0" collapsed="false">
      <c r="A648" s="8" t="n">
        <v>55690</v>
      </c>
      <c r="B648" s="2" t="s">
        <v>12</v>
      </c>
      <c r="C648" s="2" t="s">
        <v>13</v>
      </c>
    </row>
    <row r="649" customFormat="false" ht="15" hidden="false" customHeight="true" outlineLevel="0" collapsed="false">
      <c r="A649" s="8" t="n">
        <v>55769</v>
      </c>
      <c r="B649" s="2" t="s">
        <v>9</v>
      </c>
      <c r="C649" s="2" t="s">
        <v>14</v>
      </c>
    </row>
    <row r="650" customFormat="false" ht="15" hidden="false" customHeight="true" outlineLevel="0" collapsed="false">
      <c r="A650" s="8" t="n">
        <v>55804</v>
      </c>
      <c r="B650" s="2" t="s">
        <v>9</v>
      </c>
      <c r="C650" s="2" t="s">
        <v>15</v>
      </c>
    </row>
    <row r="651" customFormat="false" ht="15" hidden="false" customHeight="true" outlineLevel="0" collapsed="false">
      <c r="A651" s="8" t="n">
        <v>55825</v>
      </c>
      <c r="B651" s="2" t="s">
        <v>9</v>
      </c>
      <c r="C651" s="2" t="s">
        <v>16</v>
      </c>
    </row>
    <row r="652" customFormat="false" ht="15" hidden="false" customHeight="true" outlineLevel="0" collapsed="false">
      <c r="A652" s="8" t="n">
        <v>55838</v>
      </c>
      <c r="B652" s="2" t="s">
        <v>7</v>
      </c>
      <c r="C652" s="2" t="s">
        <v>17</v>
      </c>
    </row>
    <row r="653" customFormat="false" ht="15" hidden="false" customHeight="true" outlineLevel="0" collapsed="false">
      <c r="A653" s="8" t="n">
        <v>55843</v>
      </c>
      <c r="B653" s="2" t="s">
        <v>20</v>
      </c>
      <c r="C653" s="2" t="s">
        <v>21</v>
      </c>
      <c r="G653" s="9"/>
    </row>
    <row r="654" customFormat="false" ht="15" hidden="false" customHeight="true" outlineLevel="0" collapsed="false">
      <c r="A654" s="8" t="n">
        <v>55878</v>
      </c>
      <c r="B654" s="2" t="s">
        <v>20</v>
      </c>
      <c r="C654" s="2" t="s">
        <v>18</v>
      </c>
    </row>
    <row r="655" customFormat="false" ht="15" hidden="false" customHeight="true" outlineLevel="0" collapsed="false">
      <c r="A655" s="6" t="n">
        <v>55885</v>
      </c>
      <c r="B655" s="7" t="s">
        <v>20</v>
      </c>
      <c r="C655" s="7" t="s">
        <v>4</v>
      </c>
    </row>
    <row r="656" customFormat="false" ht="15" hidden="false" customHeight="true" outlineLevel="0" collapsed="false">
      <c r="A656" s="6" t="n">
        <v>55932</v>
      </c>
      <c r="B656" s="7" t="s">
        <v>3</v>
      </c>
      <c r="C656" s="7" t="s">
        <v>5</v>
      </c>
    </row>
    <row r="657" customFormat="false" ht="15" hidden="false" customHeight="true" outlineLevel="0" collapsed="false">
      <c r="A657" s="6" t="n">
        <v>55933</v>
      </c>
      <c r="B657" s="7" t="s">
        <v>6</v>
      </c>
      <c r="C657" s="7" t="s">
        <v>5</v>
      </c>
    </row>
    <row r="658" customFormat="false" ht="15" hidden="false" customHeight="true" outlineLevel="0" collapsed="false">
      <c r="A658" s="6" t="n">
        <v>55978</v>
      </c>
      <c r="B658" s="7" t="s">
        <v>7</v>
      </c>
      <c r="C658" s="7" t="s">
        <v>8</v>
      </c>
    </row>
    <row r="659" customFormat="false" ht="15" hidden="false" customHeight="true" outlineLevel="0" collapsed="false">
      <c r="A659" s="6" t="n">
        <v>55995</v>
      </c>
      <c r="B659" s="7" t="s">
        <v>3</v>
      </c>
      <c r="C659" s="7" t="s">
        <v>10</v>
      </c>
    </row>
    <row r="660" customFormat="false" ht="15" hidden="false" customHeight="true" outlineLevel="0" collapsed="false">
      <c r="A660" s="6" t="n">
        <v>56005</v>
      </c>
      <c r="B660" s="7" t="s">
        <v>12</v>
      </c>
      <c r="C660" s="7" t="s">
        <v>11</v>
      </c>
    </row>
    <row r="661" customFormat="false" ht="15" hidden="false" customHeight="true" outlineLevel="0" collapsed="false">
      <c r="A661" s="6" t="n">
        <v>56040</v>
      </c>
      <c r="B661" s="7" t="s">
        <v>12</v>
      </c>
      <c r="C661" s="7" t="s">
        <v>13</v>
      </c>
    </row>
    <row r="662" customFormat="false" ht="15" hidden="false" customHeight="true" outlineLevel="0" collapsed="false">
      <c r="A662" s="6" t="n">
        <v>56134</v>
      </c>
      <c r="B662" s="7" t="s">
        <v>19</v>
      </c>
      <c r="C662" s="7" t="s">
        <v>14</v>
      </c>
    </row>
    <row r="663" customFormat="false" ht="15" hidden="false" customHeight="true" outlineLevel="0" collapsed="false">
      <c r="A663" s="6" t="n">
        <v>56169</v>
      </c>
      <c r="B663" s="7" t="s">
        <v>19</v>
      </c>
      <c r="C663" s="7" t="s">
        <v>15</v>
      </c>
    </row>
    <row r="664" customFormat="false" ht="15" hidden="false" customHeight="true" outlineLevel="0" collapsed="false">
      <c r="A664" s="6" t="n">
        <v>56190</v>
      </c>
      <c r="B664" s="7" t="s">
        <v>19</v>
      </c>
      <c r="C664" s="7" t="s">
        <v>16</v>
      </c>
    </row>
    <row r="665" customFormat="false" ht="15" hidden="false" customHeight="true" outlineLevel="0" collapsed="false">
      <c r="A665" s="6" t="n">
        <v>56203</v>
      </c>
      <c r="B665" s="7" t="s">
        <v>9</v>
      </c>
      <c r="C665" s="7" t="s">
        <v>17</v>
      </c>
    </row>
    <row r="666" customFormat="false" ht="15" hidden="false" customHeight="true" outlineLevel="0" collapsed="false">
      <c r="A666" s="6" t="n">
        <v>56208</v>
      </c>
      <c r="B666" s="7" t="s">
        <v>12</v>
      </c>
      <c r="C666" s="7" t="s">
        <v>21</v>
      </c>
      <c r="G666" s="9"/>
    </row>
    <row r="667" customFormat="false" ht="15" hidden="false" customHeight="true" outlineLevel="0" collapsed="false">
      <c r="A667" s="6" t="n">
        <v>56243</v>
      </c>
      <c r="B667" s="7" t="s">
        <v>12</v>
      </c>
      <c r="C667" s="7" t="s">
        <v>18</v>
      </c>
    </row>
    <row r="668" customFormat="false" ht="15" hidden="false" customHeight="true" outlineLevel="0" collapsed="false">
      <c r="A668" s="8" t="n">
        <v>56250</v>
      </c>
      <c r="B668" s="2" t="s">
        <v>12</v>
      </c>
      <c r="C668" s="2" t="s">
        <v>4</v>
      </c>
    </row>
    <row r="669" customFormat="false" ht="15" hidden="false" customHeight="true" outlineLevel="0" collapsed="false">
      <c r="A669" s="8" t="n">
        <v>56289</v>
      </c>
      <c r="B669" s="2" t="s">
        <v>3</v>
      </c>
      <c r="C669" s="2" t="s">
        <v>5</v>
      </c>
    </row>
    <row r="670" customFormat="false" ht="15" hidden="false" customHeight="true" outlineLevel="0" collapsed="false">
      <c r="A670" s="8" t="n">
        <v>56290</v>
      </c>
      <c r="B670" s="2" t="s">
        <v>6</v>
      </c>
      <c r="C670" s="2" t="s">
        <v>5</v>
      </c>
    </row>
    <row r="671" customFormat="false" ht="15" hidden="false" customHeight="true" outlineLevel="0" collapsed="false">
      <c r="A671" s="8" t="n">
        <v>56335</v>
      </c>
      <c r="B671" s="2" t="s">
        <v>7</v>
      </c>
      <c r="C671" s="2" t="s">
        <v>8</v>
      </c>
    </row>
    <row r="672" customFormat="false" ht="15" hidden="false" customHeight="true" outlineLevel="0" collapsed="false">
      <c r="A672" s="8" t="n">
        <v>56360</v>
      </c>
      <c r="B672" s="2" t="s">
        <v>6</v>
      </c>
      <c r="C672" s="2" t="s">
        <v>10</v>
      </c>
    </row>
    <row r="673" customFormat="false" ht="15" hidden="false" customHeight="true" outlineLevel="0" collapsed="false">
      <c r="A673" s="8" t="n">
        <v>56370</v>
      </c>
      <c r="B673" s="2" t="s">
        <v>7</v>
      </c>
      <c r="C673" s="2" t="s">
        <v>11</v>
      </c>
    </row>
    <row r="674" customFormat="false" ht="15" hidden="false" customHeight="true" outlineLevel="0" collapsed="false">
      <c r="A674" s="8" t="n">
        <v>56397</v>
      </c>
      <c r="B674" s="2" t="s">
        <v>12</v>
      </c>
      <c r="C674" s="2" t="s">
        <v>13</v>
      </c>
    </row>
    <row r="675" customFormat="false" ht="15" hidden="false" customHeight="true" outlineLevel="0" collapsed="false">
      <c r="A675" s="8" t="n">
        <v>56499</v>
      </c>
      <c r="B675" s="2" t="s">
        <v>3</v>
      </c>
      <c r="C675" s="2" t="s">
        <v>14</v>
      </c>
    </row>
    <row r="676" customFormat="false" ht="15" hidden="false" customHeight="true" outlineLevel="0" collapsed="false">
      <c r="A676" s="8" t="n">
        <v>56534</v>
      </c>
      <c r="B676" s="2" t="s">
        <v>3</v>
      </c>
      <c r="C676" s="2" t="s">
        <v>15</v>
      </c>
    </row>
    <row r="677" customFormat="false" ht="15" hidden="false" customHeight="true" outlineLevel="0" collapsed="false">
      <c r="A677" s="8" t="n">
        <v>56555</v>
      </c>
      <c r="B677" s="2" t="s">
        <v>3</v>
      </c>
      <c r="C677" s="2" t="s">
        <v>16</v>
      </c>
    </row>
    <row r="678" customFormat="false" ht="15" hidden="false" customHeight="true" outlineLevel="0" collapsed="false">
      <c r="A678" s="8" t="n">
        <v>56568</v>
      </c>
      <c r="B678" s="2" t="s">
        <v>19</v>
      </c>
      <c r="C678" s="2" t="s">
        <v>17</v>
      </c>
    </row>
    <row r="679" customFormat="false" ht="15" hidden="false" customHeight="true" outlineLevel="0" collapsed="false">
      <c r="A679" s="8" t="n">
        <v>56573</v>
      </c>
      <c r="B679" s="2" t="s">
        <v>7</v>
      </c>
      <c r="C679" s="2" t="s">
        <v>21</v>
      </c>
      <c r="G679" s="9"/>
    </row>
    <row r="680" customFormat="false" ht="15" hidden="false" customHeight="true" outlineLevel="0" collapsed="false">
      <c r="A680" s="8" t="n">
        <v>56608</v>
      </c>
      <c r="B680" s="2" t="s">
        <v>7</v>
      </c>
      <c r="C680" s="2" t="s">
        <v>18</v>
      </c>
    </row>
    <row r="681" customFormat="false" ht="15" hidden="false" customHeight="true" outlineLevel="0" collapsed="false">
      <c r="A681" s="6" t="n">
        <v>56615</v>
      </c>
      <c r="B681" s="7" t="s">
        <v>7</v>
      </c>
      <c r="C681" s="7" t="s">
        <v>4</v>
      </c>
    </row>
    <row r="682" customFormat="false" ht="15" hidden="false" customHeight="true" outlineLevel="0" collapsed="false">
      <c r="A682" s="6" t="n">
        <v>56674</v>
      </c>
      <c r="B682" s="7" t="s">
        <v>3</v>
      </c>
      <c r="C682" s="7" t="s">
        <v>5</v>
      </c>
    </row>
    <row r="683" customFormat="false" ht="15" hidden="false" customHeight="true" outlineLevel="0" collapsed="false">
      <c r="A683" s="6" t="n">
        <v>56675</v>
      </c>
      <c r="B683" s="7" t="s">
        <v>6</v>
      </c>
      <c r="C683" s="7" t="s">
        <v>5</v>
      </c>
    </row>
    <row r="684" customFormat="false" ht="15" hidden="false" customHeight="true" outlineLevel="0" collapsed="false">
      <c r="A684" s="6" t="n">
        <v>56720</v>
      </c>
      <c r="B684" s="7" t="s">
        <v>7</v>
      </c>
      <c r="C684" s="7" t="s">
        <v>8</v>
      </c>
    </row>
    <row r="685" customFormat="false" ht="15" hidden="false" customHeight="true" outlineLevel="0" collapsed="false">
      <c r="A685" s="6" t="n">
        <v>56725</v>
      </c>
      <c r="B685" s="7" t="s">
        <v>20</v>
      </c>
      <c r="C685" s="7" t="s">
        <v>10</v>
      </c>
    </row>
    <row r="686" customFormat="false" ht="15" hidden="false" customHeight="true" outlineLevel="0" collapsed="false">
      <c r="A686" s="6" t="n">
        <v>56735</v>
      </c>
      <c r="B686" s="7" t="s">
        <v>9</v>
      </c>
      <c r="C686" s="7" t="s">
        <v>11</v>
      </c>
    </row>
    <row r="687" customFormat="false" ht="15" hidden="false" customHeight="true" outlineLevel="0" collapsed="false">
      <c r="A687" s="6" t="n">
        <v>56782</v>
      </c>
      <c r="B687" s="7" t="s">
        <v>12</v>
      </c>
      <c r="C687" s="7" t="s">
        <v>13</v>
      </c>
    </row>
    <row r="688" customFormat="false" ht="15" hidden="false" customHeight="true" outlineLevel="0" collapsed="false">
      <c r="A688" s="6" t="n">
        <v>56864</v>
      </c>
      <c r="B688" s="7" t="s">
        <v>6</v>
      </c>
      <c r="C688" s="7" t="s">
        <v>14</v>
      </c>
    </row>
    <row r="689" customFormat="false" ht="15" hidden="false" customHeight="true" outlineLevel="0" collapsed="false">
      <c r="A689" s="6" t="n">
        <v>56899</v>
      </c>
      <c r="B689" s="7" t="s">
        <v>6</v>
      </c>
      <c r="C689" s="7" t="s">
        <v>15</v>
      </c>
    </row>
    <row r="690" customFormat="false" ht="15" hidden="false" customHeight="true" outlineLevel="0" collapsed="false">
      <c r="A690" s="6" t="n">
        <v>56920</v>
      </c>
      <c r="B690" s="7" t="s">
        <v>6</v>
      </c>
      <c r="C690" s="7" t="s">
        <v>16</v>
      </c>
    </row>
    <row r="691" customFormat="false" ht="15" hidden="false" customHeight="true" outlineLevel="0" collapsed="false">
      <c r="A691" s="6" t="n">
        <v>56933</v>
      </c>
      <c r="B691" s="7" t="s">
        <v>3</v>
      </c>
      <c r="C691" s="7" t="s">
        <v>17</v>
      </c>
    </row>
    <row r="692" customFormat="false" ht="15" hidden="false" customHeight="true" outlineLevel="0" collapsed="false">
      <c r="A692" s="6" t="n">
        <v>56938</v>
      </c>
      <c r="B692" s="7" t="s">
        <v>9</v>
      </c>
      <c r="C692" s="7" t="s">
        <v>21</v>
      </c>
      <c r="G692" s="9"/>
    </row>
    <row r="693" customFormat="false" ht="15" hidden="false" customHeight="true" outlineLevel="0" collapsed="false">
      <c r="A693" s="6" t="n">
        <v>56973</v>
      </c>
      <c r="B693" s="7" t="s">
        <v>9</v>
      </c>
      <c r="C693" s="7" t="s">
        <v>18</v>
      </c>
    </row>
    <row r="694" customFormat="false" ht="15" hidden="false" customHeight="true" outlineLevel="0" collapsed="false">
      <c r="A694" s="8" t="n">
        <v>56980</v>
      </c>
      <c r="B694" s="2" t="s">
        <v>9</v>
      </c>
      <c r="C694" s="2" t="s">
        <v>4</v>
      </c>
    </row>
    <row r="695" customFormat="false" ht="15" hidden="false" customHeight="true" outlineLevel="0" collapsed="false">
      <c r="A695" s="8" t="n">
        <v>57024</v>
      </c>
      <c r="B695" s="2" t="s">
        <v>3</v>
      </c>
      <c r="C695" s="2" t="s">
        <v>5</v>
      </c>
    </row>
    <row r="696" customFormat="false" ht="15" hidden="false" customHeight="true" outlineLevel="0" collapsed="false">
      <c r="A696" s="8" t="n">
        <v>57025</v>
      </c>
      <c r="B696" s="2" t="s">
        <v>6</v>
      </c>
      <c r="C696" s="2" t="s">
        <v>5</v>
      </c>
    </row>
    <row r="697" customFormat="false" ht="15" hidden="false" customHeight="true" outlineLevel="0" collapsed="false">
      <c r="A697" s="8" t="n">
        <v>57070</v>
      </c>
      <c r="B697" s="2" t="s">
        <v>7</v>
      </c>
      <c r="C697" s="2" t="s">
        <v>8</v>
      </c>
    </row>
    <row r="698" customFormat="false" ht="15" hidden="false" customHeight="true" outlineLevel="0" collapsed="false">
      <c r="A698" s="8" t="n">
        <v>57091</v>
      </c>
      <c r="B698" s="2" t="s">
        <v>7</v>
      </c>
      <c r="C698" s="2" t="s">
        <v>10</v>
      </c>
    </row>
    <row r="699" customFormat="false" ht="15" hidden="false" customHeight="true" outlineLevel="0" collapsed="false">
      <c r="A699" s="8" t="n">
        <v>57101</v>
      </c>
      <c r="B699" s="2" t="s">
        <v>3</v>
      </c>
      <c r="C699" s="2" t="s">
        <v>11</v>
      </c>
    </row>
    <row r="700" customFormat="false" ht="15" hidden="false" customHeight="true" outlineLevel="0" collapsed="false">
      <c r="A700" s="8" t="n">
        <v>57132</v>
      </c>
      <c r="B700" s="2" t="s">
        <v>12</v>
      </c>
      <c r="C700" s="2" t="s">
        <v>13</v>
      </c>
    </row>
    <row r="701" customFormat="false" ht="15" hidden="false" customHeight="true" outlineLevel="0" collapsed="false">
      <c r="A701" s="8" t="n">
        <v>57230</v>
      </c>
      <c r="B701" s="2" t="s">
        <v>12</v>
      </c>
      <c r="C701" s="2" t="s">
        <v>14</v>
      </c>
    </row>
    <row r="702" customFormat="false" ht="15" hidden="false" customHeight="true" outlineLevel="0" collapsed="false">
      <c r="A702" s="8" t="n">
        <v>57265</v>
      </c>
      <c r="B702" s="2" t="s">
        <v>12</v>
      </c>
      <c r="C702" s="2" t="s">
        <v>15</v>
      </c>
    </row>
    <row r="703" customFormat="false" ht="15" hidden="false" customHeight="true" outlineLevel="0" collapsed="false">
      <c r="A703" s="8" t="n">
        <v>57286</v>
      </c>
      <c r="B703" s="2" t="s">
        <v>12</v>
      </c>
      <c r="C703" s="2" t="s">
        <v>16</v>
      </c>
    </row>
    <row r="704" customFormat="false" ht="15" hidden="false" customHeight="true" outlineLevel="0" collapsed="false">
      <c r="A704" s="8" t="n">
        <v>57299</v>
      </c>
      <c r="B704" s="2" t="s">
        <v>20</v>
      </c>
      <c r="C704" s="2" t="s">
        <v>17</v>
      </c>
    </row>
    <row r="705" customFormat="false" ht="15" hidden="false" customHeight="true" outlineLevel="0" collapsed="false">
      <c r="A705" s="8" t="n">
        <v>57304</v>
      </c>
      <c r="B705" s="2" t="s">
        <v>3</v>
      </c>
      <c r="C705" s="2" t="s">
        <v>21</v>
      </c>
      <c r="G705" s="9"/>
    </row>
    <row r="706" customFormat="false" ht="15" hidden="false" customHeight="true" outlineLevel="0" collapsed="false">
      <c r="A706" s="8" t="n">
        <v>57339</v>
      </c>
      <c r="B706" s="2" t="s">
        <v>3</v>
      </c>
      <c r="C706" s="2" t="s">
        <v>18</v>
      </c>
    </row>
    <row r="707" customFormat="false" ht="15" hidden="false" customHeight="true" outlineLevel="0" collapsed="false">
      <c r="A707" s="6" t="n">
        <v>57346</v>
      </c>
      <c r="B707" s="7" t="s">
        <v>3</v>
      </c>
      <c r="C707" s="7" t="s">
        <v>4</v>
      </c>
    </row>
    <row r="708" customFormat="false" ht="15" hidden="false" customHeight="true" outlineLevel="0" collapsed="false">
      <c r="A708" s="6" t="n">
        <v>57409</v>
      </c>
      <c r="B708" s="7" t="s">
        <v>3</v>
      </c>
      <c r="C708" s="7" t="s">
        <v>5</v>
      </c>
    </row>
    <row r="709" customFormat="false" ht="15" hidden="false" customHeight="true" outlineLevel="0" collapsed="false">
      <c r="A709" s="6" t="n">
        <v>57410</v>
      </c>
      <c r="B709" s="7" t="s">
        <v>6</v>
      </c>
      <c r="C709" s="7" t="s">
        <v>5</v>
      </c>
    </row>
    <row r="710" customFormat="false" ht="15" hidden="false" customHeight="true" outlineLevel="0" collapsed="false">
      <c r="A710" s="6" t="n">
        <v>57455</v>
      </c>
      <c r="B710" s="7" t="s">
        <v>7</v>
      </c>
      <c r="C710" s="7" t="s">
        <v>8</v>
      </c>
    </row>
    <row r="711" customFormat="false" ht="15" hidden="false" customHeight="true" outlineLevel="0" collapsed="false">
      <c r="A711" s="6" t="n">
        <v>57456</v>
      </c>
      <c r="B711" s="7" t="s">
        <v>9</v>
      </c>
      <c r="C711" s="7" t="s">
        <v>10</v>
      </c>
    </row>
    <row r="712" customFormat="false" ht="15" hidden="false" customHeight="true" outlineLevel="0" collapsed="false">
      <c r="A712" s="6" t="n">
        <v>57466</v>
      </c>
      <c r="B712" s="7" t="s">
        <v>6</v>
      </c>
      <c r="C712" s="7" t="s">
        <v>11</v>
      </c>
    </row>
    <row r="713" customFormat="false" ht="15" hidden="false" customHeight="true" outlineLevel="0" collapsed="false">
      <c r="A713" s="6" t="n">
        <v>57517</v>
      </c>
      <c r="B713" s="7" t="s">
        <v>12</v>
      </c>
      <c r="C713" s="7" t="s">
        <v>13</v>
      </c>
    </row>
    <row r="714" customFormat="false" ht="15" hidden="false" customHeight="true" outlineLevel="0" collapsed="false">
      <c r="A714" s="6" t="n">
        <v>57595</v>
      </c>
      <c r="B714" s="7" t="s">
        <v>7</v>
      </c>
      <c r="C714" s="7" t="s">
        <v>14</v>
      </c>
    </row>
    <row r="715" customFormat="false" ht="15" hidden="false" customHeight="true" outlineLevel="0" collapsed="false">
      <c r="A715" s="6" t="n">
        <v>57630</v>
      </c>
      <c r="B715" s="7" t="s">
        <v>7</v>
      </c>
      <c r="C715" s="7" t="s">
        <v>15</v>
      </c>
    </row>
    <row r="716" customFormat="false" ht="15" hidden="false" customHeight="true" outlineLevel="0" collapsed="false">
      <c r="A716" s="6" t="n">
        <v>57651</v>
      </c>
      <c r="B716" s="7" t="s">
        <v>7</v>
      </c>
      <c r="C716" s="7" t="s">
        <v>16</v>
      </c>
    </row>
    <row r="717" customFormat="false" ht="15" hidden="false" customHeight="true" outlineLevel="0" collapsed="false">
      <c r="A717" s="6" t="n">
        <v>57664</v>
      </c>
      <c r="B717" s="7" t="s">
        <v>12</v>
      </c>
      <c r="C717" s="7" t="s">
        <v>17</v>
      </c>
    </row>
    <row r="718" customFormat="false" ht="15" hidden="false" customHeight="true" outlineLevel="0" collapsed="false">
      <c r="A718" s="6" t="n">
        <v>57669</v>
      </c>
      <c r="B718" s="7" t="s">
        <v>6</v>
      </c>
      <c r="C718" s="7" t="s">
        <v>21</v>
      </c>
      <c r="G718" s="9"/>
    </row>
    <row r="719" customFormat="false" ht="15" hidden="false" customHeight="true" outlineLevel="0" collapsed="false">
      <c r="A719" s="6" t="n">
        <v>57704</v>
      </c>
      <c r="B719" s="7" t="s">
        <v>6</v>
      </c>
      <c r="C719" s="7" t="s">
        <v>18</v>
      </c>
    </row>
    <row r="720" customFormat="false" ht="15" hidden="false" customHeight="true" outlineLevel="0" collapsed="false">
      <c r="A720" s="8" t="n">
        <v>57711</v>
      </c>
      <c r="B720" s="2" t="s">
        <v>6</v>
      </c>
      <c r="C720" s="2" t="s">
        <v>4</v>
      </c>
    </row>
    <row r="721" customFormat="false" ht="15" hidden="false" customHeight="true" outlineLevel="0" collapsed="false">
      <c r="A721" s="8" t="n">
        <v>57766</v>
      </c>
      <c r="B721" s="2" t="s">
        <v>3</v>
      </c>
      <c r="C721" s="2" t="s">
        <v>5</v>
      </c>
    </row>
    <row r="722" customFormat="false" ht="15" hidden="false" customHeight="true" outlineLevel="0" collapsed="false">
      <c r="A722" s="8" t="n">
        <v>57767</v>
      </c>
      <c r="B722" s="2" t="s">
        <v>6</v>
      </c>
      <c r="C722" s="2" t="s">
        <v>5</v>
      </c>
    </row>
    <row r="723" customFormat="false" ht="15" hidden="false" customHeight="true" outlineLevel="0" collapsed="false">
      <c r="A723" s="8" t="n">
        <v>57812</v>
      </c>
      <c r="B723" s="2" t="s">
        <v>7</v>
      </c>
      <c r="C723" s="2" t="s">
        <v>8</v>
      </c>
    </row>
    <row r="724" customFormat="false" ht="15" hidden="false" customHeight="true" outlineLevel="0" collapsed="false">
      <c r="A724" s="8" t="n">
        <v>57821</v>
      </c>
      <c r="B724" s="2" t="s">
        <v>19</v>
      </c>
      <c r="C724" s="2" t="s">
        <v>10</v>
      </c>
    </row>
    <row r="725" customFormat="false" ht="15" hidden="false" customHeight="true" outlineLevel="0" collapsed="false">
      <c r="A725" s="8" t="n">
        <v>57831</v>
      </c>
      <c r="B725" s="2" t="s">
        <v>20</v>
      </c>
      <c r="C725" s="2" t="s">
        <v>11</v>
      </c>
    </row>
    <row r="726" customFormat="false" ht="15" hidden="false" customHeight="true" outlineLevel="0" collapsed="false">
      <c r="A726" s="8" t="n">
        <v>57874</v>
      </c>
      <c r="B726" s="2" t="s">
        <v>12</v>
      </c>
      <c r="C726" s="2" t="s">
        <v>13</v>
      </c>
    </row>
    <row r="727" customFormat="false" ht="15" hidden="false" customHeight="true" outlineLevel="0" collapsed="false">
      <c r="A727" s="8" t="n">
        <v>57960</v>
      </c>
      <c r="B727" s="2" t="s">
        <v>9</v>
      </c>
      <c r="C727" s="2" t="s">
        <v>14</v>
      </c>
    </row>
    <row r="728" customFormat="false" ht="15" hidden="false" customHeight="true" outlineLevel="0" collapsed="false">
      <c r="A728" s="8" t="n">
        <v>57995</v>
      </c>
      <c r="B728" s="2" t="s">
        <v>9</v>
      </c>
      <c r="C728" s="2" t="s">
        <v>15</v>
      </c>
    </row>
    <row r="729" customFormat="false" ht="15" hidden="false" customHeight="true" outlineLevel="0" collapsed="false">
      <c r="A729" s="8" t="n">
        <v>58016</v>
      </c>
      <c r="B729" s="2" t="s">
        <v>9</v>
      </c>
      <c r="C729" s="2" t="s">
        <v>16</v>
      </c>
    </row>
    <row r="730" customFormat="false" ht="15" hidden="false" customHeight="true" outlineLevel="0" collapsed="false">
      <c r="A730" s="8" t="n">
        <v>58029</v>
      </c>
      <c r="B730" s="2" t="s">
        <v>7</v>
      </c>
      <c r="C730" s="2" t="s">
        <v>17</v>
      </c>
    </row>
    <row r="731" customFormat="false" ht="15" hidden="false" customHeight="true" outlineLevel="0" collapsed="false">
      <c r="A731" s="8" t="n">
        <v>58034</v>
      </c>
      <c r="B731" s="2" t="s">
        <v>20</v>
      </c>
      <c r="C731" s="2" t="s">
        <v>21</v>
      </c>
      <c r="G731" s="9"/>
    </row>
    <row r="732" customFormat="false" ht="15" hidden="false" customHeight="true" outlineLevel="0" collapsed="false">
      <c r="A732" s="8" t="n">
        <v>58069</v>
      </c>
      <c r="B732" s="2" t="s">
        <v>20</v>
      </c>
      <c r="C732" s="2" t="s">
        <v>18</v>
      </c>
    </row>
    <row r="733" customFormat="false" ht="15" hidden="false" customHeight="true" outlineLevel="0" collapsed="false">
      <c r="A733" s="6" t="n">
        <v>58076</v>
      </c>
      <c r="B733" s="7" t="s">
        <v>20</v>
      </c>
      <c r="C733" s="7" t="s">
        <v>4</v>
      </c>
    </row>
    <row r="734" customFormat="false" ht="15" hidden="false" customHeight="true" outlineLevel="0" collapsed="false">
      <c r="A734" s="6" t="n">
        <v>58116</v>
      </c>
      <c r="B734" s="7" t="s">
        <v>3</v>
      </c>
      <c r="C734" s="7" t="s">
        <v>5</v>
      </c>
    </row>
    <row r="735" customFormat="false" ht="15" hidden="false" customHeight="true" outlineLevel="0" collapsed="false">
      <c r="A735" s="6" t="n">
        <v>58117</v>
      </c>
      <c r="B735" s="7" t="s">
        <v>6</v>
      </c>
      <c r="C735" s="7" t="s">
        <v>5</v>
      </c>
    </row>
    <row r="736" customFormat="false" ht="15" hidden="false" customHeight="true" outlineLevel="0" collapsed="false">
      <c r="A736" s="6" t="n">
        <v>58162</v>
      </c>
      <c r="B736" s="7" t="s">
        <v>7</v>
      </c>
      <c r="C736" s="7" t="s">
        <v>8</v>
      </c>
    </row>
    <row r="737" customFormat="false" ht="15" hidden="false" customHeight="true" outlineLevel="0" collapsed="false">
      <c r="A737" s="6" t="n">
        <v>58186</v>
      </c>
      <c r="B737" s="7" t="s">
        <v>3</v>
      </c>
      <c r="C737" s="7" t="s">
        <v>10</v>
      </c>
    </row>
    <row r="738" customFormat="false" ht="15" hidden="false" customHeight="true" outlineLevel="0" collapsed="false">
      <c r="A738" s="6" t="n">
        <v>58196</v>
      </c>
      <c r="B738" s="7" t="s">
        <v>12</v>
      </c>
      <c r="C738" s="7" t="s">
        <v>11</v>
      </c>
    </row>
    <row r="739" customFormat="false" ht="15" hidden="false" customHeight="true" outlineLevel="0" collapsed="false">
      <c r="A739" s="6" t="n">
        <v>58224</v>
      </c>
      <c r="B739" s="7" t="s">
        <v>12</v>
      </c>
      <c r="C739" s="7" t="s">
        <v>13</v>
      </c>
    </row>
    <row r="740" customFormat="false" ht="15" hidden="false" customHeight="true" outlineLevel="0" collapsed="false">
      <c r="A740" s="6" t="n">
        <v>58325</v>
      </c>
      <c r="B740" s="7" t="s">
        <v>19</v>
      </c>
      <c r="C740" s="7" t="s">
        <v>14</v>
      </c>
    </row>
    <row r="741" customFormat="false" ht="15" hidden="false" customHeight="true" outlineLevel="0" collapsed="false">
      <c r="A741" s="6" t="n">
        <v>58360</v>
      </c>
      <c r="B741" s="7" t="s">
        <v>19</v>
      </c>
      <c r="C741" s="7" t="s">
        <v>15</v>
      </c>
    </row>
    <row r="742" customFormat="false" ht="15" hidden="false" customHeight="true" outlineLevel="0" collapsed="false">
      <c r="A742" s="6" t="n">
        <v>58381</v>
      </c>
      <c r="B742" s="7" t="s">
        <v>19</v>
      </c>
      <c r="C742" s="7" t="s">
        <v>16</v>
      </c>
    </row>
    <row r="743" customFormat="false" ht="15" hidden="false" customHeight="true" outlineLevel="0" collapsed="false">
      <c r="A743" s="6" t="n">
        <v>58394</v>
      </c>
      <c r="B743" s="7" t="s">
        <v>9</v>
      </c>
      <c r="C743" s="7" t="s">
        <v>17</v>
      </c>
    </row>
    <row r="744" customFormat="false" ht="15" hidden="false" customHeight="true" outlineLevel="0" collapsed="false">
      <c r="A744" s="6" t="n">
        <v>58399</v>
      </c>
      <c r="B744" s="7" t="s">
        <v>12</v>
      </c>
      <c r="C744" s="7" t="s">
        <v>21</v>
      </c>
      <c r="G744" s="9"/>
    </row>
    <row r="745" customFormat="false" ht="15" hidden="false" customHeight="true" outlineLevel="0" collapsed="false">
      <c r="A745" s="6" t="n">
        <v>58434</v>
      </c>
      <c r="B745" s="7" t="s">
        <v>12</v>
      </c>
      <c r="C745" s="7" t="s">
        <v>18</v>
      </c>
    </row>
    <row r="746" customFormat="false" ht="15" hidden="false" customHeight="true" outlineLevel="0" collapsed="false">
      <c r="A746" s="8" t="n">
        <v>58441</v>
      </c>
      <c r="B746" s="2" t="s">
        <v>12</v>
      </c>
      <c r="C746" s="2" t="s">
        <v>4</v>
      </c>
    </row>
    <row r="747" customFormat="false" ht="15" hidden="false" customHeight="true" outlineLevel="0" collapsed="false">
      <c r="A747" s="8" t="n">
        <v>58501</v>
      </c>
      <c r="B747" s="2" t="s">
        <v>3</v>
      </c>
      <c r="C747" s="2" t="s">
        <v>5</v>
      </c>
    </row>
    <row r="748" customFormat="false" ht="15" hidden="false" customHeight="true" outlineLevel="0" collapsed="false">
      <c r="A748" s="8" t="n">
        <v>58502</v>
      </c>
      <c r="B748" s="2" t="s">
        <v>6</v>
      </c>
      <c r="C748" s="2" t="s">
        <v>5</v>
      </c>
    </row>
    <row r="749" customFormat="false" ht="15" hidden="false" customHeight="true" outlineLevel="0" collapsed="false">
      <c r="A749" s="8" t="n">
        <v>58547</v>
      </c>
      <c r="B749" s="2" t="s">
        <v>7</v>
      </c>
      <c r="C749" s="2" t="s">
        <v>8</v>
      </c>
    </row>
    <row r="750" customFormat="false" ht="15" hidden="false" customHeight="true" outlineLevel="0" collapsed="false">
      <c r="A750" s="8" t="n">
        <v>58552</v>
      </c>
      <c r="B750" s="2" t="s">
        <v>20</v>
      </c>
      <c r="C750" s="2" t="s">
        <v>10</v>
      </c>
    </row>
    <row r="751" customFormat="false" ht="15" hidden="false" customHeight="true" outlineLevel="0" collapsed="false">
      <c r="A751" s="8" t="n">
        <v>58562</v>
      </c>
      <c r="B751" s="2" t="s">
        <v>9</v>
      </c>
      <c r="C751" s="2" t="s">
        <v>11</v>
      </c>
    </row>
    <row r="752" customFormat="false" ht="15" hidden="false" customHeight="true" outlineLevel="0" collapsed="false">
      <c r="A752" s="8" t="n">
        <v>58609</v>
      </c>
      <c r="B752" s="2" t="s">
        <v>12</v>
      </c>
      <c r="C752" s="2" t="s">
        <v>13</v>
      </c>
    </row>
    <row r="753" customFormat="false" ht="15" hidden="false" customHeight="true" outlineLevel="0" collapsed="false">
      <c r="A753" s="8" t="n">
        <v>58691</v>
      </c>
      <c r="B753" s="2" t="s">
        <v>6</v>
      </c>
      <c r="C753" s="2" t="s">
        <v>14</v>
      </c>
    </row>
    <row r="754" customFormat="false" ht="15" hidden="false" customHeight="true" outlineLevel="0" collapsed="false">
      <c r="A754" s="8" t="n">
        <v>58726</v>
      </c>
      <c r="B754" s="2" t="s">
        <v>6</v>
      </c>
      <c r="C754" s="2" t="s">
        <v>15</v>
      </c>
    </row>
    <row r="755" customFormat="false" ht="15" hidden="false" customHeight="true" outlineLevel="0" collapsed="false">
      <c r="A755" s="8" t="n">
        <v>58747</v>
      </c>
      <c r="B755" s="2" t="s">
        <v>6</v>
      </c>
      <c r="C755" s="2" t="s">
        <v>16</v>
      </c>
    </row>
    <row r="756" customFormat="false" ht="15" hidden="false" customHeight="true" outlineLevel="0" collapsed="false">
      <c r="A756" s="8" t="n">
        <v>58760</v>
      </c>
      <c r="B756" s="2" t="s">
        <v>3</v>
      </c>
      <c r="C756" s="2" t="s">
        <v>17</v>
      </c>
    </row>
    <row r="757" customFormat="false" ht="15" hidden="false" customHeight="true" outlineLevel="0" collapsed="false">
      <c r="A757" s="8" t="n">
        <v>58765</v>
      </c>
      <c r="B757" s="2" t="s">
        <v>9</v>
      </c>
      <c r="C757" s="2" t="s">
        <v>21</v>
      </c>
      <c r="G757" s="9"/>
    </row>
    <row r="758" customFormat="false" ht="15" hidden="false" customHeight="true" outlineLevel="0" collapsed="false">
      <c r="A758" s="8" t="n">
        <v>58800</v>
      </c>
      <c r="B758" s="2" t="s">
        <v>9</v>
      </c>
      <c r="C758" s="2" t="s">
        <v>18</v>
      </c>
    </row>
    <row r="759" customFormat="false" ht="15" hidden="false" customHeight="true" outlineLevel="0" collapsed="false">
      <c r="A759" s="6" t="n">
        <v>58807</v>
      </c>
      <c r="B759" s="7" t="s">
        <v>9</v>
      </c>
      <c r="C759" s="7" t="s">
        <v>4</v>
      </c>
    </row>
    <row r="760" customFormat="false" ht="15" hidden="false" customHeight="true" outlineLevel="0" collapsed="false">
      <c r="A760" s="6" t="n">
        <v>58858</v>
      </c>
      <c r="B760" s="7" t="s">
        <v>3</v>
      </c>
      <c r="C760" s="7" t="s">
        <v>5</v>
      </c>
    </row>
    <row r="761" customFormat="false" ht="15" hidden="false" customHeight="true" outlineLevel="0" collapsed="false">
      <c r="A761" s="6" t="n">
        <v>58859</v>
      </c>
      <c r="B761" s="7" t="s">
        <v>6</v>
      </c>
      <c r="C761" s="7" t="s">
        <v>5</v>
      </c>
    </row>
    <row r="762" customFormat="false" ht="15" hidden="false" customHeight="true" outlineLevel="0" collapsed="false">
      <c r="A762" s="6" t="n">
        <v>58904</v>
      </c>
      <c r="B762" s="7" t="s">
        <v>7</v>
      </c>
      <c r="C762" s="7" t="s">
        <v>8</v>
      </c>
    </row>
    <row r="763" customFormat="false" ht="15" hidden="false" customHeight="true" outlineLevel="0" collapsed="false">
      <c r="A763" s="6" t="n">
        <v>58917</v>
      </c>
      <c r="B763" s="7" t="s">
        <v>12</v>
      </c>
      <c r="C763" s="7" t="s">
        <v>10</v>
      </c>
    </row>
    <row r="764" customFormat="false" ht="15" hidden="false" customHeight="true" outlineLevel="0" collapsed="false">
      <c r="A764" s="6" t="n">
        <v>58927</v>
      </c>
      <c r="B764" s="7" t="s">
        <v>19</v>
      </c>
      <c r="C764" s="7" t="s">
        <v>11</v>
      </c>
    </row>
    <row r="765" customFormat="false" ht="15" hidden="false" customHeight="true" outlineLevel="0" collapsed="false">
      <c r="A765" s="6" t="n">
        <v>58966</v>
      </c>
      <c r="B765" s="7" t="s">
        <v>12</v>
      </c>
      <c r="C765" s="7" t="s">
        <v>13</v>
      </c>
    </row>
    <row r="766" customFormat="false" ht="15" hidden="false" customHeight="true" outlineLevel="0" collapsed="false">
      <c r="A766" s="6" t="n">
        <v>59056</v>
      </c>
      <c r="B766" s="7" t="s">
        <v>20</v>
      </c>
      <c r="C766" s="7" t="s">
        <v>14</v>
      </c>
    </row>
    <row r="767" customFormat="false" ht="15" hidden="false" customHeight="true" outlineLevel="0" collapsed="false">
      <c r="A767" s="6" t="n">
        <v>59091</v>
      </c>
      <c r="B767" s="7" t="s">
        <v>20</v>
      </c>
      <c r="C767" s="7" t="s">
        <v>15</v>
      </c>
    </row>
    <row r="768" customFormat="false" ht="15" hidden="false" customHeight="true" outlineLevel="0" collapsed="false">
      <c r="A768" s="6" t="n">
        <v>59112</v>
      </c>
      <c r="B768" s="7" t="s">
        <v>20</v>
      </c>
      <c r="C768" s="7" t="s">
        <v>16</v>
      </c>
    </row>
    <row r="769" customFormat="false" ht="15" hidden="false" customHeight="true" outlineLevel="0" collapsed="false">
      <c r="A769" s="6" t="n">
        <v>59125</v>
      </c>
      <c r="B769" s="7" t="s">
        <v>6</v>
      </c>
      <c r="C769" s="7" t="s">
        <v>17</v>
      </c>
    </row>
    <row r="770" customFormat="false" ht="15" hidden="false" customHeight="true" outlineLevel="0" collapsed="false">
      <c r="A770" s="6" t="n">
        <v>59130</v>
      </c>
      <c r="B770" s="7" t="s">
        <v>19</v>
      </c>
      <c r="C770" s="7" t="s">
        <v>21</v>
      </c>
      <c r="G770" s="9"/>
    </row>
    <row r="771" customFormat="false" ht="15" hidden="false" customHeight="true" outlineLevel="0" collapsed="false">
      <c r="A771" s="6" t="n">
        <v>59165</v>
      </c>
      <c r="B771" s="7" t="s">
        <v>19</v>
      </c>
      <c r="C771" s="7" t="s">
        <v>18</v>
      </c>
    </row>
    <row r="772" customFormat="false" ht="15" hidden="false" customHeight="true" outlineLevel="0" collapsed="false">
      <c r="A772" s="8" t="n">
        <v>59172</v>
      </c>
      <c r="B772" s="2" t="s">
        <v>19</v>
      </c>
      <c r="C772" s="2" t="s">
        <v>4</v>
      </c>
    </row>
    <row r="773" customFormat="false" ht="15" hidden="false" customHeight="true" outlineLevel="0" collapsed="false">
      <c r="A773" s="8" t="n">
        <v>59208</v>
      </c>
      <c r="B773" s="2" t="s">
        <v>3</v>
      </c>
      <c r="C773" s="2" t="s">
        <v>5</v>
      </c>
    </row>
    <row r="774" customFormat="false" ht="15" hidden="false" customHeight="true" outlineLevel="0" collapsed="false">
      <c r="A774" s="8" t="n">
        <v>59209</v>
      </c>
      <c r="B774" s="2" t="s">
        <v>6</v>
      </c>
      <c r="C774" s="2" t="s">
        <v>5</v>
      </c>
    </row>
    <row r="775" customFormat="false" ht="15" hidden="false" customHeight="true" outlineLevel="0" collapsed="false">
      <c r="A775" s="8" t="n">
        <v>59254</v>
      </c>
      <c r="B775" s="2" t="s">
        <v>7</v>
      </c>
      <c r="C775" s="2" t="s">
        <v>8</v>
      </c>
    </row>
    <row r="776" customFormat="false" ht="15" hidden="false" customHeight="true" outlineLevel="0" collapsed="false">
      <c r="A776" s="8" t="n">
        <v>59282</v>
      </c>
      <c r="B776" s="2" t="s">
        <v>7</v>
      </c>
      <c r="C776" s="2" t="s">
        <v>10</v>
      </c>
    </row>
    <row r="777" customFormat="false" ht="15" hidden="false" customHeight="true" outlineLevel="0" collapsed="false">
      <c r="A777" s="8" t="n">
        <v>59292</v>
      </c>
      <c r="B777" s="2" t="s">
        <v>3</v>
      </c>
      <c r="C777" s="2" t="s">
        <v>11</v>
      </c>
    </row>
    <row r="778" customFormat="false" ht="15" hidden="false" customHeight="true" outlineLevel="0" collapsed="false">
      <c r="A778" s="8" t="n">
        <v>59316</v>
      </c>
      <c r="B778" s="2" t="s">
        <v>12</v>
      </c>
      <c r="C778" s="2" t="s">
        <v>13</v>
      </c>
    </row>
    <row r="779" customFormat="false" ht="15" hidden="false" customHeight="true" outlineLevel="0" collapsed="false">
      <c r="A779" s="8" t="n">
        <v>59421</v>
      </c>
      <c r="B779" s="2" t="s">
        <v>12</v>
      </c>
      <c r="C779" s="2" t="s">
        <v>14</v>
      </c>
    </row>
    <row r="780" customFormat="false" ht="15" hidden="false" customHeight="true" outlineLevel="0" collapsed="false">
      <c r="A780" s="8" t="n">
        <v>59456</v>
      </c>
      <c r="B780" s="2" t="s">
        <v>12</v>
      </c>
      <c r="C780" s="2" t="s">
        <v>15</v>
      </c>
    </row>
    <row r="781" customFormat="false" ht="15" hidden="false" customHeight="true" outlineLevel="0" collapsed="false">
      <c r="A781" s="8" t="n">
        <v>59477</v>
      </c>
      <c r="B781" s="2" t="s">
        <v>12</v>
      </c>
      <c r="C781" s="2" t="s">
        <v>16</v>
      </c>
    </row>
    <row r="782" customFormat="false" ht="15" hidden="false" customHeight="true" outlineLevel="0" collapsed="false">
      <c r="A782" s="8" t="n">
        <v>59490</v>
      </c>
      <c r="B782" s="2" t="s">
        <v>20</v>
      </c>
      <c r="C782" s="2" t="s">
        <v>17</v>
      </c>
    </row>
    <row r="783" customFormat="false" ht="15" hidden="false" customHeight="true" outlineLevel="0" collapsed="false">
      <c r="A783" s="8" t="n">
        <v>59495</v>
      </c>
      <c r="B783" s="2" t="s">
        <v>3</v>
      </c>
      <c r="C783" s="2" t="s">
        <v>21</v>
      </c>
      <c r="G783" s="9"/>
    </row>
    <row r="784" customFormat="false" ht="15" hidden="false" customHeight="true" outlineLevel="0" collapsed="false">
      <c r="A784" s="8" t="n">
        <v>59530</v>
      </c>
      <c r="B784" s="2" t="s">
        <v>3</v>
      </c>
      <c r="C784" s="2" t="s">
        <v>18</v>
      </c>
    </row>
    <row r="785" customFormat="false" ht="15" hidden="false" customHeight="true" outlineLevel="0" collapsed="false">
      <c r="A785" s="6" t="n">
        <v>59537</v>
      </c>
      <c r="B785" s="7" t="s">
        <v>3</v>
      </c>
      <c r="C785" s="7" t="s">
        <v>4</v>
      </c>
    </row>
    <row r="786" customFormat="false" ht="15" hidden="false" customHeight="true" outlineLevel="0" collapsed="false">
      <c r="A786" s="6" t="n">
        <v>59593</v>
      </c>
      <c r="B786" s="7" t="s">
        <v>3</v>
      </c>
      <c r="C786" s="7" t="s">
        <v>5</v>
      </c>
    </row>
    <row r="787" customFormat="false" ht="15" hidden="false" customHeight="true" outlineLevel="0" collapsed="false">
      <c r="A787" s="6" t="n">
        <v>59594</v>
      </c>
      <c r="B787" s="7" t="s">
        <v>6</v>
      </c>
      <c r="C787" s="7" t="s">
        <v>5</v>
      </c>
    </row>
    <row r="788" customFormat="false" ht="15" hidden="false" customHeight="true" outlineLevel="0" collapsed="false">
      <c r="A788" s="6" t="n">
        <v>59639</v>
      </c>
      <c r="B788" s="7" t="s">
        <v>7</v>
      </c>
      <c r="C788" s="7" t="s">
        <v>8</v>
      </c>
    </row>
    <row r="789" customFormat="false" ht="15" hidden="false" customHeight="true" outlineLevel="0" collapsed="false">
      <c r="A789" s="6" t="n">
        <v>59647</v>
      </c>
      <c r="B789" s="7" t="s">
        <v>9</v>
      </c>
      <c r="C789" s="7" t="s">
        <v>10</v>
      </c>
    </row>
    <row r="790" customFormat="false" ht="15" hidden="false" customHeight="true" outlineLevel="0" collapsed="false">
      <c r="A790" s="6" t="n">
        <v>59657</v>
      </c>
      <c r="B790" s="7" t="s">
        <v>6</v>
      </c>
      <c r="C790" s="7" t="s">
        <v>11</v>
      </c>
    </row>
    <row r="791" customFormat="false" ht="15" hidden="false" customHeight="true" outlineLevel="0" collapsed="false">
      <c r="A791" s="6" t="n">
        <v>59701</v>
      </c>
      <c r="B791" s="7" t="s">
        <v>12</v>
      </c>
      <c r="C791" s="7" t="s">
        <v>13</v>
      </c>
    </row>
    <row r="792" customFormat="false" ht="15" hidden="false" customHeight="true" outlineLevel="0" collapsed="false">
      <c r="A792" s="6" t="n">
        <v>59786</v>
      </c>
      <c r="B792" s="7" t="s">
        <v>7</v>
      </c>
      <c r="C792" s="7" t="s">
        <v>14</v>
      </c>
    </row>
    <row r="793" customFormat="false" ht="15" hidden="false" customHeight="true" outlineLevel="0" collapsed="false">
      <c r="A793" s="6" t="n">
        <v>59821</v>
      </c>
      <c r="B793" s="7" t="s">
        <v>7</v>
      </c>
      <c r="C793" s="7" t="s">
        <v>15</v>
      </c>
    </row>
    <row r="794" customFormat="false" ht="15" hidden="false" customHeight="true" outlineLevel="0" collapsed="false">
      <c r="A794" s="6" t="n">
        <v>59842</v>
      </c>
      <c r="B794" s="7" t="s">
        <v>7</v>
      </c>
      <c r="C794" s="7" t="s">
        <v>16</v>
      </c>
    </row>
    <row r="795" customFormat="false" ht="15" hidden="false" customHeight="true" outlineLevel="0" collapsed="false">
      <c r="A795" s="6" t="n">
        <v>59855</v>
      </c>
      <c r="B795" s="7" t="s">
        <v>12</v>
      </c>
      <c r="C795" s="7" t="s">
        <v>17</v>
      </c>
    </row>
    <row r="796" customFormat="false" ht="15" hidden="false" customHeight="true" outlineLevel="0" collapsed="false">
      <c r="A796" s="6" t="n">
        <v>59860</v>
      </c>
      <c r="B796" s="7" t="s">
        <v>6</v>
      </c>
      <c r="C796" s="7" t="s">
        <v>21</v>
      </c>
      <c r="G796" s="9"/>
    </row>
    <row r="797" customFormat="false" ht="15" hidden="false" customHeight="true" outlineLevel="0" collapsed="false">
      <c r="A797" s="6" t="n">
        <v>59895</v>
      </c>
      <c r="B797" s="7" t="s">
        <v>6</v>
      </c>
      <c r="C797" s="7" t="s">
        <v>18</v>
      </c>
    </row>
    <row r="798" customFormat="false" ht="15" hidden="false" customHeight="true" outlineLevel="0" collapsed="false">
      <c r="A798" s="8" t="n">
        <v>59902</v>
      </c>
      <c r="B798" s="2" t="s">
        <v>6</v>
      </c>
      <c r="C798" s="2" t="s">
        <v>4</v>
      </c>
    </row>
    <row r="799" customFormat="false" ht="15" hidden="false" customHeight="true" outlineLevel="0" collapsed="false">
      <c r="A799" s="8" t="n">
        <v>59950</v>
      </c>
      <c r="B799" s="2" t="s">
        <v>3</v>
      </c>
      <c r="C799" s="2" t="s">
        <v>5</v>
      </c>
    </row>
    <row r="800" customFormat="false" ht="15" hidden="false" customHeight="true" outlineLevel="0" collapsed="false">
      <c r="A800" s="8" t="n">
        <v>59951</v>
      </c>
      <c r="B800" s="2" t="s">
        <v>6</v>
      </c>
      <c r="C800" s="2" t="s">
        <v>5</v>
      </c>
    </row>
    <row r="801" customFormat="false" ht="15" hidden="false" customHeight="true" outlineLevel="0" collapsed="false">
      <c r="A801" s="8" t="n">
        <v>59996</v>
      </c>
      <c r="B801" s="2" t="s">
        <v>7</v>
      </c>
      <c r="C801" s="2" t="s">
        <v>8</v>
      </c>
    </row>
    <row r="802" customFormat="false" ht="15" hidden="false" customHeight="true" outlineLevel="0" collapsed="false">
      <c r="A802" s="8" t="n">
        <v>60013</v>
      </c>
      <c r="B802" s="2" t="s">
        <v>3</v>
      </c>
      <c r="C802" s="2" t="s">
        <v>10</v>
      </c>
    </row>
    <row r="803" customFormat="false" ht="15" hidden="false" customHeight="true" outlineLevel="0" collapsed="false">
      <c r="A803" s="8" t="n">
        <v>60023</v>
      </c>
      <c r="B803" s="2" t="s">
        <v>12</v>
      </c>
      <c r="C803" s="2" t="s">
        <v>11</v>
      </c>
    </row>
    <row r="804" customFormat="false" ht="15" hidden="false" customHeight="true" outlineLevel="0" collapsed="false">
      <c r="A804" s="8" t="n">
        <v>60058</v>
      </c>
      <c r="B804" s="2" t="s">
        <v>12</v>
      </c>
      <c r="C804" s="2" t="s">
        <v>13</v>
      </c>
    </row>
    <row r="805" customFormat="false" ht="15" hidden="false" customHeight="true" outlineLevel="0" collapsed="false">
      <c r="A805" s="8" t="n">
        <v>60152</v>
      </c>
      <c r="B805" s="2" t="s">
        <v>19</v>
      </c>
      <c r="C805" s="2" t="s">
        <v>14</v>
      </c>
    </row>
    <row r="806" customFormat="false" ht="15" hidden="false" customHeight="true" outlineLevel="0" collapsed="false">
      <c r="A806" s="8" t="n">
        <v>60187</v>
      </c>
      <c r="B806" s="2" t="s">
        <v>19</v>
      </c>
      <c r="C806" s="2" t="s">
        <v>15</v>
      </c>
    </row>
    <row r="807" customFormat="false" ht="15" hidden="false" customHeight="true" outlineLevel="0" collapsed="false">
      <c r="A807" s="8" t="n">
        <v>60208</v>
      </c>
      <c r="B807" s="2" t="s">
        <v>19</v>
      </c>
      <c r="C807" s="2" t="s">
        <v>16</v>
      </c>
    </row>
    <row r="808" customFormat="false" ht="15" hidden="false" customHeight="true" outlineLevel="0" collapsed="false">
      <c r="A808" s="8" t="n">
        <v>60221</v>
      </c>
      <c r="B808" s="2" t="s">
        <v>9</v>
      </c>
      <c r="C808" s="2" t="s">
        <v>17</v>
      </c>
    </row>
    <row r="809" customFormat="false" ht="15" hidden="false" customHeight="true" outlineLevel="0" collapsed="false">
      <c r="A809" s="8" t="n">
        <v>60226</v>
      </c>
      <c r="B809" s="2" t="s">
        <v>12</v>
      </c>
      <c r="C809" s="2" t="s">
        <v>21</v>
      </c>
      <c r="G809" s="9"/>
    </row>
    <row r="810" customFormat="false" ht="15" hidden="false" customHeight="true" outlineLevel="0" collapsed="false">
      <c r="A810" s="8" t="n">
        <v>60261</v>
      </c>
      <c r="B810" s="2" t="s">
        <v>12</v>
      </c>
      <c r="C810" s="2" t="s">
        <v>18</v>
      </c>
    </row>
    <row r="811" customFormat="false" ht="15" hidden="false" customHeight="true" outlineLevel="0" collapsed="false">
      <c r="A811" s="6" t="n">
        <v>60268</v>
      </c>
      <c r="B811" s="7" t="s">
        <v>12</v>
      </c>
      <c r="C811" s="7" t="s">
        <v>4</v>
      </c>
    </row>
    <row r="812" customFormat="false" ht="15" hidden="false" customHeight="true" outlineLevel="0" collapsed="false">
      <c r="A812" s="6" t="n">
        <v>60307</v>
      </c>
      <c r="B812" s="7" t="s">
        <v>3</v>
      </c>
      <c r="C812" s="7" t="s">
        <v>5</v>
      </c>
    </row>
    <row r="813" customFormat="false" ht="15" hidden="false" customHeight="true" outlineLevel="0" collapsed="false">
      <c r="A813" s="6" t="n">
        <v>60308</v>
      </c>
      <c r="B813" s="7" t="s">
        <v>6</v>
      </c>
      <c r="C813" s="7" t="s">
        <v>5</v>
      </c>
    </row>
    <row r="814" customFormat="false" ht="15" hidden="false" customHeight="true" outlineLevel="0" collapsed="false">
      <c r="A814" s="6" t="n">
        <v>60353</v>
      </c>
      <c r="B814" s="7" t="s">
        <v>7</v>
      </c>
      <c r="C814" s="7" t="s">
        <v>8</v>
      </c>
    </row>
    <row r="815" customFormat="false" ht="15" hidden="false" customHeight="true" outlineLevel="0" collapsed="false">
      <c r="A815" s="6" t="n">
        <v>60378</v>
      </c>
      <c r="B815" s="7" t="s">
        <v>6</v>
      </c>
      <c r="C815" s="7" t="s">
        <v>10</v>
      </c>
    </row>
    <row r="816" customFormat="false" ht="15" hidden="false" customHeight="true" outlineLevel="0" collapsed="false">
      <c r="A816" s="6" t="n">
        <v>60388</v>
      </c>
      <c r="B816" s="7" t="s">
        <v>7</v>
      </c>
      <c r="C816" s="7" t="s">
        <v>11</v>
      </c>
    </row>
    <row r="817" customFormat="false" ht="15" hidden="false" customHeight="true" outlineLevel="0" collapsed="false">
      <c r="A817" s="6" t="n">
        <v>60415</v>
      </c>
      <c r="B817" s="7" t="s">
        <v>12</v>
      </c>
      <c r="C817" s="7" t="s">
        <v>13</v>
      </c>
    </row>
    <row r="818" customFormat="false" ht="15" hidden="false" customHeight="true" outlineLevel="0" collapsed="false">
      <c r="A818" s="6" t="n">
        <v>60517</v>
      </c>
      <c r="B818" s="7" t="s">
        <v>3</v>
      </c>
      <c r="C818" s="7" t="s">
        <v>14</v>
      </c>
    </row>
    <row r="819" customFormat="false" ht="15" hidden="false" customHeight="true" outlineLevel="0" collapsed="false">
      <c r="A819" s="6" t="n">
        <v>60552</v>
      </c>
      <c r="B819" s="7" t="s">
        <v>3</v>
      </c>
      <c r="C819" s="7" t="s">
        <v>15</v>
      </c>
    </row>
    <row r="820" customFormat="false" ht="15" hidden="false" customHeight="true" outlineLevel="0" collapsed="false">
      <c r="A820" s="6" t="n">
        <v>60573</v>
      </c>
      <c r="B820" s="7" t="s">
        <v>3</v>
      </c>
      <c r="C820" s="7" t="s">
        <v>16</v>
      </c>
    </row>
    <row r="821" customFormat="false" ht="15" hidden="false" customHeight="true" outlineLevel="0" collapsed="false">
      <c r="A821" s="6" t="n">
        <v>60586</v>
      </c>
      <c r="B821" s="7" t="s">
        <v>19</v>
      </c>
      <c r="C821" s="7" t="s">
        <v>17</v>
      </c>
    </row>
    <row r="822" customFormat="false" ht="15" hidden="false" customHeight="true" outlineLevel="0" collapsed="false">
      <c r="A822" s="6" t="n">
        <v>60591</v>
      </c>
      <c r="B822" s="7" t="s">
        <v>7</v>
      </c>
      <c r="C822" s="7" t="s">
        <v>21</v>
      </c>
      <c r="G822" s="9"/>
    </row>
    <row r="823" customFormat="false" ht="15" hidden="false" customHeight="true" outlineLevel="0" collapsed="false">
      <c r="A823" s="6" t="n">
        <v>60626</v>
      </c>
      <c r="B823" s="7" t="s">
        <v>7</v>
      </c>
      <c r="C823" s="7" t="s">
        <v>18</v>
      </c>
    </row>
    <row r="824" customFormat="false" ht="15" hidden="false" customHeight="true" outlineLevel="0" collapsed="false">
      <c r="A824" s="8" t="n">
        <v>60633</v>
      </c>
      <c r="B824" s="2" t="s">
        <v>7</v>
      </c>
      <c r="C824" s="2" t="s">
        <v>4</v>
      </c>
    </row>
    <row r="825" customFormat="false" ht="15" hidden="false" customHeight="true" outlineLevel="0" collapsed="false">
      <c r="A825" s="8" t="n">
        <v>60685</v>
      </c>
      <c r="B825" s="2" t="s">
        <v>3</v>
      </c>
      <c r="C825" s="2" t="s">
        <v>5</v>
      </c>
    </row>
    <row r="826" customFormat="false" ht="15" hidden="false" customHeight="true" outlineLevel="0" collapsed="false">
      <c r="A826" s="8" t="n">
        <v>60686</v>
      </c>
      <c r="B826" s="2" t="s">
        <v>6</v>
      </c>
      <c r="C826" s="2" t="s">
        <v>5</v>
      </c>
    </row>
    <row r="827" customFormat="false" ht="15" hidden="false" customHeight="true" outlineLevel="0" collapsed="false">
      <c r="A827" s="8" t="n">
        <v>60731</v>
      </c>
      <c r="B827" s="2" t="s">
        <v>7</v>
      </c>
      <c r="C827" s="2" t="s">
        <v>8</v>
      </c>
    </row>
    <row r="828" customFormat="false" ht="15" hidden="false" customHeight="true" outlineLevel="0" collapsed="false">
      <c r="A828" s="8" t="n">
        <v>60743</v>
      </c>
      <c r="B828" s="2" t="s">
        <v>20</v>
      </c>
      <c r="C828" s="2" t="s">
        <v>10</v>
      </c>
    </row>
    <row r="829" customFormat="false" ht="15" hidden="false" customHeight="true" outlineLevel="0" collapsed="false">
      <c r="A829" s="8" t="n">
        <v>60753</v>
      </c>
      <c r="B829" s="2" t="s">
        <v>9</v>
      </c>
      <c r="C829" s="2" t="s">
        <v>11</v>
      </c>
    </row>
    <row r="830" customFormat="false" ht="15" hidden="false" customHeight="true" outlineLevel="0" collapsed="false">
      <c r="A830" s="8" t="n">
        <v>60793</v>
      </c>
      <c r="B830" s="2" t="s">
        <v>12</v>
      </c>
      <c r="C830" s="2" t="s">
        <v>13</v>
      </c>
    </row>
    <row r="831" customFormat="false" ht="15" hidden="false" customHeight="true" outlineLevel="0" collapsed="false">
      <c r="A831" s="8" t="n">
        <v>60882</v>
      </c>
      <c r="B831" s="2" t="s">
        <v>6</v>
      </c>
      <c r="C831" s="2" t="s">
        <v>14</v>
      </c>
    </row>
    <row r="832" customFormat="false" ht="15" hidden="false" customHeight="true" outlineLevel="0" collapsed="false">
      <c r="A832" s="8" t="n">
        <v>60917</v>
      </c>
      <c r="B832" s="2" t="s">
        <v>6</v>
      </c>
      <c r="C832" s="2" t="s">
        <v>15</v>
      </c>
    </row>
    <row r="833" customFormat="false" ht="15" hidden="false" customHeight="true" outlineLevel="0" collapsed="false">
      <c r="A833" s="8" t="n">
        <v>60938</v>
      </c>
      <c r="B833" s="2" t="s">
        <v>6</v>
      </c>
      <c r="C833" s="2" t="s">
        <v>16</v>
      </c>
    </row>
    <row r="834" customFormat="false" ht="15" hidden="false" customHeight="true" outlineLevel="0" collapsed="false">
      <c r="A834" s="8" t="n">
        <v>60951</v>
      </c>
      <c r="B834" s="2" t="s">
        <v>3</v>
      </c>
      <c r="C834" s="2" t="s">
        <v>17</v>
      </c>
    </row>
    <row r="835" customFormat="false" ht="15" hidden="false" customHeight="true" outlineLevel="0" collapsed="false">
      <c r="A835" s="8" t="n">
        <v>60956</v>
      </c>
      <c r="B835" s="2" t="s">
        <v>9</v>
      </c>
      <c r="C835" s="2" t="s">
        <v>21</v>
      </c>
      <c r="G835" s="9"/>
    </row>
    <row r="836" customFormat="false" ht="15" hidden="false" customHeight="true" outlineLevel="0" collapsed="false">
      <c r="A836" s="8" t="n">
        <v>60991</v>
      </c>
      <c r="B836" s="2" t="s">
        <v>9</v>
      </c>
      <c r="C836" s="2" t="s">
        <v>18</v>
      </c>
    </row>
    <row r="837" customFormat="false" ht="15" hidden="false" customHeight="true" outlineLevel="0" collapsed="false">
      <c r="A837" s="6" t="n">
        <v>60998</v>
      </c>
      <c r="B837" s="7" t="s">
        <v>9</v>
      </c>
      <c r="C837" s="7" t="s">
        <v>4</v>
      </c>
    </row>
    <row r="838" customFormat="false" ht="15" hidden="false" customHeight="true" outlineLevel="0" collapsed="false">
      <c r="A838" s="6" t="n">
        <v>61042</v>
      </c>
      <c r="B838" s="7" t="s">
        <v>3</v>
      </c>
      <c r="C838" s="7" t="s">
        <v>5</v>
      </c>
    </row>
    <row r="839" customFormat="false" ht="15" hidden="false" customHeight="true" outlineLevel="0" collapsed="false">
      <c r="A839" s="6" t="n">
        <v>61043</v>
      </c>
      <c r="B839" s="7" t="s">
        <v>6</v>
      </c>
      <c r="C839" s="7" t="s">
        <v>5</v>
      </c>
    </row>
    <row r="840" customFormat="false" ht="15" hidden="false" customHeight="true" outlineLevel="0" collapsed="false">
      <c r="A840" s="6" t="n">
        <v>61088</v>
      </c>
      <c r="B840" s="7" t="s">
        <v>7</v>
      </c>
      <c r="C840" s="7" t="s">
        <v>8</v>
      </c>
    </row>
    <row r="841" customFormat="false" ht="15" hidden="false" customHeight="true" outlineLevel="0" collapsed="false">
      <c r="A841" s="6" t="n">
        <v>61108</v>
      </c>
      <c r="B841" s="7" t="s">
        <v>12</v>
      </c>
      <c r="C841" s="7" t="s">
        <v>10</v>
      </c>
    </row>
    <row r="842" customFormat="false" ht="15" hidden="false" customHeight="true" outlineLevel="0" collapsed="false">
      <c r="A842" s="6" t="n">
        <v>61118</v>
      </c>
      <c r="B842" s="7" t="s">
        <v>19</v>
      </c>
      <c r="C842" s="7" t="s">
        <v>11</v>
      </c>
    </row>
    <row r="843" customFormat="false" ht="15" hidden="false" customHeight="true" outlineLevel="0" collapsed="false">
      <c r="A843" s="6" t="n">
        <v>61150</v>
      </c>
      <c r="B843" s="7" t="s">
        <v>12</v>
      </c>
      <c r="C843" s="7" t="s">
        <v>13</v>
      </c>
    </row>
    <row r="844" customFormat="false" ht="15" hidden="false" customHeight="true" outlineLevel="0" collapsed="false">
      <c r="A844" s="6" t="n">
        <v>61247</v>
      </c>
      <c r="B844" s="7" t="s">
        <v>20</v>
      </c>
      <c r="C844" s="7" t="s">
        <v>14</v>
      </c>
    </row>
    <row r="845" customFormat="false" ht="15" hidden="false" customHeight="true" outlineLevel="0" collapsed="false">
      <c r="A845" s="6" t="n">
        <v>61282</v>
      </c>
      <c r="B845" s="7" t="s">
        <v>20</v>
      </c>
      <c r="C845" s="7" t="s">
        <v>15</v>
      </c>
    </row>
    <row r="846" customFormat="false" ht="15" hidden="false" customHeight="true" outlineLevel="0" collapsed="false">
      <c r="A846" s="6" t="n">
        <v>61303</v>
      </c>
      <c r="B846" s="7" t="s">
        <v>20</v>
      </c>
      <c r="C846" s="7" t="s">
        <v>16</v>
      </c>
    </row>
    <row r="847" customFormat="false" ht="15" hidden="false" customHeight="true" outlineLevel="0" collapsed="false">
      <c r="A847" s="6" t="n">
        <v>61316</v>
      </c>
      <c r="B847" s="7" t="s">
        <v>6</v>
      </c>
      <c r="C847" s="7" t="s">
        <v>17</v>
      </c>
    </row>
    <row r="848" customFormat="false" ht="15" hidden="false" customHeight="true" outlineLevel="0" collapsed="false">
      <c r="A848" s="6" t="n">
        <v>61321</v>
      </c>
      <c r="B848" s="7" t="s">
        <v>19</v>
      </c>
      <c r="C848" s="7" t="s">
        <v>21</v>
      </c>
      <c r="G848" s="9"/>
    </row>
    <row r="849" customFormat="false" ht="15" hidden="false" customHeight="true" outlineLevel="0" collapsed="false">
      <c r="A849" s="6" t="n">
        <v>61356</v>
      </c>
      <c r="B849" s="7" t="s">
        <v>19</v>
      </c>
      <c r="C849" s="7" t="s">
        <v>18</v>
      </c>
    </row>
    <row r="850" customFormat="false" ht="15" hidden="false" customHeight="true" outlineLevel="0" collapsed="false">
      <c r="A850" s="8" t="n">
        <v>61363</v>
      </c>
      <c r="B850" s="2" t="s">
        <v>19</v>
      </c>
      <c r="C850" s="2" t="s">
        <v>4</v>
      </c>
    </row>
    <row r="851" customFormat="false" ht="15" hidden="false" customHeight="true" outlineLevel="0" collapsed="false">
      <c r="A851" s="8" t="n">
        <v>61427</v>
      </c>
      <c r="B851" s="2" t="s">
        <v>3</v>
      </c>
      <c r="C851" s="2" t="s">
        <v>5</v>
      </c>
    </row>
    <row r="852" customFormat="false" ht="15" hidden="false" customHeight="true" outlineLevel="0" collapsed="false">
      <c r="A852" s="8" t="n">
        <v>61428</v>
      </c>
      <c r="B852" s="2" t="s">
        <v>6</v>
      </c>
      <c r="C852" s="2" t="s">
        <v>5</v>
      </c>
    </row>
    <row r="853" customFormat="false" ht="15" hidden="false" customHeight="true" outlineLevel="0" collapsed="false">
      <c r="A853" s="8" t="n">
        <v>61473</v>
      </c>
      <c r="B853" s="2" t="s">
        <v>7</v>
      </c>
      <c r="C853" s="2" t="s">
        <v>8</v>
      </c>
    </row>
    <row r="854" customFormat="false" ht="15" hidden="false" customHeight="true" outlineLevel="0" collapsed="false">
      <c r="A854" s="8" t="n">
        <v>61474</v>
      </c>
      <c r="B854" s="2" t="s">
        <v>9</v>
      </c>
      <c r="C854" s="2" t="s">
        <v>10</v>
      </c>
    </row>
    <row r="855" customFormat="false" ht="15" hidden="false" customHeight="true" outlineLevel="0" collapsed="false">
      <c r="A855" s="8" t="n">
        <v>61484</v>
      </c>
      <c r="B855" s="2" t="s">
        <v>6</v>
      </c>
      <c r="C855" s="2" t="s">
        <v>11</v>
      </c>
    </row>
    <row r="856" customFormat="false" ht="15" hidden="false" customHeight="true" outlineLevel="0" collapsed="false">
      <c r="A856" s="8" t="n">
        <v>61535</v>
      </c>
      <c r="B856" s="2" t="s">
        <v>12</v>
      </c>
      <c r="C856" s="2" t="s">
        <v>13</v>
      </c>
    </row>
    <row r="857" customFormat="false" ht="15" hidden="false" customHeight="true" outlineLevel="0" collapsed="false">
      <c r="A857" s="8" t="n">
        <v>61613</v>
      </c>
      <c r="B857" s="2" t="s">
        <v>7</v>
      </c>
      <c r="C857" s="2" t="s">
        <v>14</v>
      </c>
    </row>
    <row r="858" customFormat="false" ht="15" hidden="false" customHeight="true" outlineLevel="0" collapsed="false">
      <c r="A858" s="8" t="n">
        <v>61648</v>
      </c>
      <c r="B858" s="2" t="s">
        <v>7</v>
      </c>
      <c r="C858" s="2" t="s">
        <v>15</v>
      </c>
    </row>
    <row r="859" customFormat="false" ht="15" hidden="false" customHeight="true" outlineLevel="0" collapsed="false">
      <c r="A859" s="8" t="n">
        <v>61669</v>
      </c>
      <c r="B859" s="2" t="s">
        <v>7</v>
      </c>
      <c r="C859" s="2" t="s">
        <v>16</v>
      </c>
    </row>
    <row r="860" customFormat="false" ht="15" hidden="false" customHeight="true" outlineLevel="0" collapsed="false">
      <c r="A860" s="8" t="n">
        <v>61682</v>
      </c>
      <c r="B860" s="2" t="s">
        <v>12</v>
      </c>
      <c r="C860" s="2" t="s">
        <v>17</v>
      </c>
    </row>
    <row r="861" customFormat="false" ht="15" hidden="false" customHeight="true" outlineLevel="0" collapsed="false">
      <c r="A861" s="8" t="n">
        <v>61687</v>
      </c>
      <c r="B861" s="2" t="s">
        <v>6</v>
      </c>
      <c r="C861" s="2" t="s">
        <v>21</v>
      </c>
      <c r="G861" s="9"/>
    </row>
    <row r="862" customFormat="false" ht="15" hidden="false" customHeight="true" outlineLevel="0" collapsed="false">
      <c r="A862" s="8" t="n">
        <v>61722</v>
      </c>
      <c r="B862" s="2" t="s">
        <v>6</v>
      </c>
      <c r="C862" s="2" t="s">
        <v>18</v>
      </c>
    </row>
    <row r="863" customFormat="false" ht="15" hidden="false" customHeight="true" outlineLevel="0" collapsed="false">
      <c r="A863" s="6" t="n">
        <v>61729</v>
      </c>
      <c r="B863" s="7" t="s">
        <v>6</v>
      </c>
      <c r="C863" s="7" t="s">
        <v>4</v>
      </c>
    </row>
    <row r="864" customFormat="false" ht="15" hidden="false" customHeight="true" outlineLevel="0" collapsed="false">
      <c r="A864" s="6" t="n">
        <v>61784</v>
      </c>
      <c r="B864" s="7" t="s">
        <v>3</v>
      </c>
      <c r="C864" s="7" t="s">
        <v>5</v>
      </c>
    </row>
    <row r="865" customFormat="false" ht="15" hidden="false" customHeight="true" outlineLevel="0" collapsed="false">
      <c r="A865" s="6" t="n">
        <v>61785</v>
      </c>
      <c r="B865" s="7" t="s">
        <v>6</v>
      </c>
      <c r="C865" s="7" t="s">
        <v>5</v>
      </c>
    </row>
    <row r="866" customFormat="false" ht="15" hidden="false" customHeight="true" outlineLevel="0" collapsed="false">
      <c r="A866" s="6" t="n">
        <v>61830</v>
      </c>
      <c r="B866" s="7" t="s">
        <v>7</v>
      </c>
      <c r="C866" s="7" t="s">
        <v>8</v>
      </c>
    </row>
    <row r="867" customFormat="false" ht="15" hidden="false" customHeight="true" outlineLevel="0" collapsed="false">
      <c r="A867" s="6" t="n">
        <v>61839</v>
      </c>
      <c r="B867" s="7" t="s">
        <v>19</v>
      </c>
      <c r="C867" s="7" t="s">
        <v>10</v>
      </c>
    </row>
    <row r="868" customFormat="false" ht="15" hidden="false" customHeight="true" outlineLevel="0" collapsed="false">
      <c r="A868" s="6" t="n">
        <v>61849</v>
      </c>
      <c r="B868" s="7" t="s">
        <v>20</v>
      </c>
      <c r="C868" s="7" t="s">
        <v>11</v>
      </c>
    </row>
    <row r="869" customFormat="false" ht="15" hidden="false" customHeight="true" outlineLevel="0" collapsed="false">
      <c r="A869" s="6" t="n">
        <v>61892</v>
      </c>
      <c r="B869" s="7" t="s">
        <v>12</v>
      </c>
      <c r="C869" s="7" t="s">
        <v>13</v>
      </c>
    </row>
    <row r="870" customFormat="false" ht="15" hidden="false" customHeight="true" outlineLevel="0" collapsed="false">
      <c r="A870" s="6" t="n">
        <v>61978</v>
      </c>
      <c r="B870" s="7" t="s">
        <v>9</v>
      </c>
      <c r="C870" s="7" t="s">
        <v>14</v>
      </c>
    </row>
    <row r="871" customFormat="false" ht="15" hidden="false" customHeight="true" outlineLevel="0" collapsed="false">
      <c r="A871" s="6" t="n">
        <v>62013</v>
      </c>
      <c r="B871" s="7" t="s">
        <v>9</v>
      </c>
      <c r="C871" s="7" t="s">
        <v>15</v>
      </c>
    </row>
    <row r="872" customFormat="false" ht="15" hidden="false" customHeight="true" outlineLevel="0" collapsed="false">
      <c r="A872" s="6" t="n">
        <v>62034</v>
      </c>
      <c r="B872" s="7" t="s">
        <v>9</v>
      </c>
      <c r="C872" s="7" t="s">
        <v>16</v>
      </c>
    </row>
    <row r="873" customFormat="false" ht="15" hidden="false" customHeight="true" outlineLevel="0" collapsed="false">
      <c r="A873" s="6" t="n">
        <v>62047</v>
      </c>
      <c r="B873" s="7" t="s">
        <v>7</v>
      </c>
      <c r="C873" s="7" t="s">
        <v>17</v>
      </c>
    </row>
    <row r="874" customFormat="false" ht="15" hidden="false" customHeight="true" outlineLevel="0" collapsed="false">
      <c r="A874" s="6" t="n">
        <v>62052</v>
      </c>
      <c r="B874" s="7" t="s">
        <v>20</v>
      </c>
      <c r="C874" s="7" t="s">
        <v>21</v>
      </c>
      <c r="G874" s="9"/>
    </row>
    <row r="875" customFormat="false" ht="15" hidden="false" customHeight="true" outlineLevel="0" collapsed="false">
      <c r="A875" s="6" t="n">
        <v>62087</v>
      </c>
      <c r="B875" s="7" t="s">
        <v>20</v>
      </c>
      <c r="C875" s="7" t="s">
        <v>18</v>
      </c>
    </row>
    <row r="876" customFormat="false" ht="15" hidden="false" customHeight="true" outlineLevel="0" collapsed="false">
      <c r="A876" s="8" t="n">
        <v>62094</v>
      </c>
      <c r="B876" s="2" t="s">
        <v>20</v>
      </c>
      <c r="C876" s="2" t="s">
        <v>4</v>
      </c>
    </row>
    <row r="877" customFormat="false" ht="15" hidden="false" customHeight="true" outlineLevel="0" collapsed="false">
      <c r="A877" s="8" t="n">
        <v>62134</v>
      </c>
      <c r="B877" s="2" t="s">
        <v>3</v>
      </c>
      <c r="C877" s="2" t="s">
        <v>5</v>
      </c>
    </row>
    <row r="878" customFormat="false" ht="15" hidden="false" customHeight="true" outlineLevel="0" collapsed="false">
      <c r="A878" s="8" t="n">
        <v>62135</v>
      </c>
      <c r="B878" s="2" t="s">
        <v>6</v>
      </c>
      <c r="C878" s="2" t="s">
        <v>5</v>
      </c>
    </row>
    <row r="879" customFormat="false" ht="15" hidden="false" customHeight="true" outlineLevel="0" collapsed="false">
      <c r="A879" s="8" t="n">
        <v>62180</v>
      </c>
      <c r="B879" s="2" t="s">
        <v>7</v>
      </c>
      <c r="C879" s="2" t="s">
        <v>8</v>
      </c>
    </row>
    <row r="880" customFormat="false" ht="15" hidden="false" customHeight="true" outlineLevel="0" collapsed="false">
      <c r="A880" s="8" t="n">
        <v>62204</v>
      </c>
      <c r="B880" s="2" t="s">
        <v>3</v>
      </c>
      <c r="C880" s="2" t="s">
        <v>10</v>
      </c>
    </row>
    <row r="881" customFormat="false" ht="15" hidden="false" customHeight="true" outlineLevel="0" collapsed="false">
      <c r="A881" s="8" t="n">
        <v>62214</v>
      </c>
      <c r="B881" s="2" t="s">
        <v>12</v>
      </c>
      <c r="C881" s="2" t="s">
        <v>11</v>
      </c>
    </row>
    <row r="882" customFormat="false" ht="15" hidden="false" customHeight="true" outlineLevel="0" collapsed="false">
      <c r="A882" s="8" t="n">
        <v>62242</v>
      </c>
      <c r="B882" s="2" t="s">
        <v>12</v>
      </c>
      <c r="C882" s="2" t="s">
        <v>13</v>
      </c>
    </row>
    <row r="883" customFormat="false" ht="15" hidden="false" customHeight="true" outlineLevel="0" collapsed="false">
      <c r="A883" s="8" t="n">
        <v>62343</v>
      </c>
      <c r="B883" s="2" t="s">
        <v>19</v>
      </c>
      <c r="C883" s="2" t="s">
        <v>14</v>
      </c>
    </row>
    <row r="884" customFormat="false" ht="15" hidden="false" customHeight="true" outlineLevel="0" collapsed="false">
      <c r="A884" s="8" t="n">
        <v>62378</v>
      </c>
      <c r="B884" s="2" t="s">
        <v>19</v>
      </c>
      <c r="C884" s="2" t="s">
        <v>15</v>
      </c>
    </row>
    <row r="885" customFormat="false" ht="15" hidden="false" customHeight="true" outlineLevel="0" collapsed="false">
      <c r="A885" s="8" t="n">
        <v>62399</v>
      </c>
      <c r="B885" s="2" t="s">
        <v>19</v>
      </c>
      <c r="C885" s="2" t="s">
        <v>16</v>
      </c>
    </row>
    <row r="886" customFormat="false" ht="15" hidden="false" customHeight="true" outlineLevel="0" collapsed="false">
      <c r="A886" s="8" t="n">
        <v>62412</v>
      </c>
      <c r="B886" s="2" t="s">
        <v>9</v>
      </c>
      <c r="C886" s="2" t="s">
        <v>17</v>
      </c>
    </row>
    <row r="887" customFormat="false" ht="15" hidden="false" customHeight="true" outlineLevel="0" collapsed="false">
      <c r="A887" s="8" t="n">
        <v>62417</v>
      </c>
      <c r="B887" s="2" t="s">
        <v>12</v>
      </c>
      <c r="C887" s="2" t="s">
        <v>21</v>
      </c>
      <c r="G887" s="9"/>
    </row>
    <row r="888" customFormat="false" ht="15" hidden="false" customHeight="true" outlineLevel="0" collapsed="false">
      <c r="A888" s="8" t="n">
        <v>62452</v>
      </c>
      <c r="B888" s="2" t="s">
        <v>12</v>
      </c>
      <c r="C888" s="2" t="s">
        <v>18</v>
      </c>
    </row>
    <row r="889" customFormat="false" ht="15" hidden="false" customHeight="true" outlineLevel="0" collapsed="false">
      <c r="A889" s="6" t="n">
        <v>62459</v>
      </c>
      <c r="B889" s="7" t="s">
        <v>12</v>
      </c>
      <c r="C889" s="7" t="s">
        <v>4</v>
      </c>
    </row>
    <row r="890" customFormat="false" ht="15" hidden="false" customHeight="true" outlineLevel="0" collapsed="false">
      <c r="A890" s="6" t="n">
        <v>62519</v>
      </c>
      <c r="B890" s="7" t="s">
        <v>3</v>
      </c>
      <c r="C890" s="7" t="s">
        <v>5</v>
      </c>
    </row>
    <row r="891" customFormat="false" ht="15" hidden="false" customHeight="true" outlineLevel="0" collapsed="false">
      <c r="A891" s="6" t="n">
        <v>62520</v>
      </c>
      <c r="B891" s="7" t="s">
        <v>6</v>
      </c>
      <c r="C891" s="7" t="s">
        <v>5</v>
      </c>
    </row>
    <row r="892" customFormat="false" ht="15" hidden="false" customHeight="true" outlineLevel="0" collapsed="false">
      <c r="A892" s="6" t="n">
        <v>62565</v>
      </c>
      <c r="B892" s="7" t="s">
        <v>7</v>
      </c>
      <c r="C892" s="7" t="s">
        <v>8</v>
      </c>
    </row>
    <row r="893" customFormat="false" ht="15" hidden="false" customHeight="true" outlineLevel="0" collapsed="false">
      <c r="A893" s="6" t="n">
        <v>62569</v>
      </c>
      <c r="B893" s="7" t="s">
        <v>6</v>
      </c>
      <c r="C893" s="7" t="s">
        <v>10</v>
      </c>
    </row>
    <row r="894" customFormat="false" ht="15" hidden="false" customHeight="true" outlineLevel="0" collapsed="false">
      <c r="A894" s="6" t="n">
        <v>62579</v>
      </c>
      <c r="B894" s="7" t="s">
        <v>7</v>
      </c>
      <c r="C894" s="7" t="s">
        <v>11</v>
      </c>
    </row>
    <row r="895" customFormat="false" ht="15" hidden="false" customHeight="true" outlineLevel="0" collapsed="false">
      <c r="A895" s="6" t="n">
        <v>62627</v>
      </c>
      <c r="B895" s="7" t="s">
        <v>12</v>
      </c>
      <c r="C895" s="7" t="s">
        <v>13</v>
      </c>
    </row>
    <row r="896" customFormat="false" ht="15" hidden="false" customHeight="true" outlineLevel="0" collapsed="false">
      <c r="A896" s="6" t="n">
        <v>62708</v>
      </c>
      <c r="B896" s="7" t="s">
        <v>3</v>
      </c>
      <c r="C896" s="7" t="s">
        <v>14</v>
      </c>
    </row>
    <row r="897" customFormat="false" ht="15" hidden="false" customHeight="true" outlineLevel="0" collapsed="false">
      <c r="A897" s="6" t="n">
        <v>62743</v>
      </c>
      <c r="B897" s="7" t="s">
        <v>3</v>
      </c>
      <c r="C897" s="7" t="s">
        <v>15</v>
      </c>
    </row>
    <row r="898" customFormat="false" ht="15" hidden="false" customHeight="true" outlineLevel="0" collapsed="false">
      <c r="A898" s="6" t="n">
        <v>62764</v>
      </c>
      <c r="B898" s="7" t="s">
        <v>3</v>
      </c>
      <c r="C898" s="7" t="s">
        <v>16</v>
      </c>
    </row>
    <row r="899" customFormat="false" ht="15" hidden="false" customHeight="true" outlineLevel="0" collapsed="false">
      <c r="A899" s="6" t="n">
        <v>62777</v>
      </c>
      <c r="B899" s="7" t="s">
        <v>19</v>
      </c>
      <c r="C899" s="7" t="s">
        <v>17</v>
      </c>
    </row>
    <row r="900" customFormat="false" ht="15" hidden="false" customHeight="true" outlineLevel="0" collapsed="false">
      <c r="A900" s="6" t="n">
        <v>62782</v>
      </c>
      <c r="B900" s="7" t="s">
        <v>7</v>
      </c>
      <c r="C900" s="7" t="s">
        <v>21</v>
      </c>
      <c r="G900" s="9"/>
    </row>
    <row r="901" customFormat="false" ht="15" hidden="false" customHeight="true" outlineLevel="0" collapsed="false">
      <c r="A901" s="6" t="n">
        <v>62817</v>
      </c>
      <c r="B901" s="7" t="s">
        <v>7</v>
      </c>
      <c r="C901" s="7" t="s">
        <v>18</v>
      </c>
    </row>
    <row r="902" customFormat="false" ht="15" hidden="false" customHeight="true" outlineLevel="0" collapsed="false">
      <c r="A902" s="8" t="n">
        <v>62824</v>
      </c>
      <c r="B902" s="2" t="s">
        <v>7</v>
      </c>
      <c r="C902" s="2" t="s">
        <v>4</v>
      </c>
    </row>
    <row r="903" customFormat="false" ht="15" hidden="false" customHeight="true" outlineLevel="0" collapsed="false">
      <c r="A903" s="8" t="n">
        <v>62876</v>
      </c>
      <c r="B903" s="2" t="s">
        <v>3</v>
      </c>
      <c r="C903" s="2" t="s">
        <v>5</v>
      </c>
    </row>
    <row r="904" customFormat="false" ht="15" hidden="false" customHeight="true" outlineLevel="0" collapsed="false">
      <c r="A904" s="8" t="n">
        <v>62877</v>
      </c>
      <c r="B904" s="2" t="s">
        <v>6</v>
      </c>
      <c r="C904" s="2" t="s">
        <v>5</v>
      </c>
    </row>
    <row r="905" customFormat="false" ht="15" hidden="false" customHeight="true" outlineLevel="0" collapsed="false">
      <c r="A905" s="8" t="n">
        <v>62922</v>
      </c>
      <c r="B905" s="2" t="s">
        <v>7</v>
      </c>
      <c r="C905" s="2" t="s">
        <v>8</v>
      </c>
    </row>
    <row r="906" customFormat="false" ht="15" hidden="false" customHeight="true" outlineLevel="0" collapsed="false">
      <c r="A906" s="8" t="n">
        <v>62935</v>
      </c>
      <c r="B906" s="2" t="s">
        <v>12</v>
      </c>
      <c r="C906" s="2" t="s">
        <v>10</v>
      </c>
    </row>
    <row r="907" customFormat="false" ht="15" hidden="false" customHeight="true" outlineLevel="0" collapsed="false">
      <c r="A907" s="8" t="n">
        <v>62945</v>
      </c>
      <c r="B907" s="2" t="s">
        <v>19</v>
      </c>
      <c r="C907" s="2" t="s">
        <v>11</v>
      </c>
    </row>
    <row r="908" customFormat="false" ht="15" hidden="false" customHeight="true" outlineLevel="0" collapsed="false">
      <c r="A908" s="8" t="n">
        <v>62984</v>
      </c>
      <c r="B908" s="2" t="s">
        <v>12</v>
      </c>
      <c r="C908" s="2" t="s">
        <v>13</v>
      </c>
    </row>
    <row r="909" customFormat="false" ht="15" hidden="false" customHeight="true" outlineLevel="0" collapsed="false">
      <c r="A909" s="8" t="n">
        <v>63074</v>
      </c>
      <c r="B909" s="2" t="s">
        <v>20</v>
      </c>
      <c r="C909" s="2" t="s">
        <v>14</v>
      </c>
    </row>
    <row r="910" customFormat="false" ht="15" hidden="false" customHeight="true" outlineLevel="0" collapsed="false">
      <c r="A910" s="8" t="n">
        <v>63109</v>
      </c>
      <c r="B910" s="2" t="s">
        <v>20</v>
      </c>
      <c r="C910" s="2" t="s">
        <v>15</v>
      </c>
    </row>
    <row r="911" customFormat="false" ht="15" hidden="false" customHeight="true" outlineLevel="0" collapsed="false">
      <c r="A911" s="8" t="n">
        <v>63130</v>
      </c>
      <c r="B911" s="2" t="s">
        <v>20</v>
      </c>
      <c r="C911" s="2" t="s">
        <v>16</v>
      </c>
    </row>
    <row r="912" customFormat="false" ht="15" hidden="false" customHeight="true" outlineLevel="0" collapsed="false">
      <c r="A912" s="8" t="n">
        <v>63143</v>
      </c>
      <c r="B912" s="2" t="s">
        <v>6</v>
      </c>
      <c r="C912" s="2" t="s">
        <v>17</v>
      </c>
    </row>
    <row r="913" customFormat="false" ht="15" hidden="false" customHeight="true" outlineLevel="0" collapsed="false">
      <c r="A913" s="8" t="n">
        <v>63148</v>
      </c>
      <c r="B913" s="2" t="s">
        <v>19</v>
      </c>
      <c r="C913" s="2" t="s">
        <v>21</v>
      </c>
      <c r="G913" s="9"/>
    </row>
    <row r="914" customFormat="false" ht="15" hidden="false" customHeight="true" outlineLevel="0" collapsed="false">
      <c r="A914" s="8" t="n">
        <v>63183</v>
      </c>
      <c r="B914" s="2" t="s">
        <v>19</v>
      </c>
      <c r="C914" s="2" t="s">
        <v>18</v>
      </c>
    </row>
    <row r="915" customFormat="false" ht="15" hidden="false" customHeight="true" outlineLevel="0" collapsed="false">
      <c r="A915" s="6" t="n">
        <v>63190</v>
      </c>
      <c r="B915" s="7" t="s">
        <v>19</v>
      </c>
      <c r="C915" s="7" t="s">
        <v>4</v>
      </c>
    </row>
    <row r="916" customFormat="false" ht="15" hidden="false" customHeight="true" outlineLevel="0" collapsed="false">
      <c r="A916" s="6" t="n">
        <v>63226</v>
      </c>
      <c r="B916" s="7" t="s">
        <v>3</v>
      </c>
      <c r="C916" s="7" t="s">
        <v>5</v>
      </c>
    </row>
    <row r="917" customFormat="false" ht="15" hidden="false" customHeight="true" outlineLevel="0" collapsed="false">
      <c r="A917" s="6" t="n">
        <v>63227</v>
      </c>
      <c r="B917" s="7" t="s">
        <v>6</v>
      </c>
      <c r="C917" s="7" t="s">
        <v>5</v>
      </c>
    </row>
    <row r="918" customFormat="false" ht="15" hidden="false" customHeight="true" outlineLevel="0" collapsed="false">
      <c r="A918" s="6" t="n">
        <v>63272</v>
      </c>
      <c r="B918" s="7" t="s">
        <v>7</v>
      </c>
      <c r="C918" s="7" t="s">
        <v>8</v>
      </c>
    </row>
    <row r="919" customFormat="false" ht="15" hidden="false" customHeight="true" outlineLevel="0" collapsed="false">
      <c r="A919" s="6" t="n">
        <v>63300</v>
      </c>
      <c r="B919" s="7" t="s">
        <v>7</v>
      </c>
      <c r="C919" s="7" t="s">
        <v>10</v>
      </c>
    </row>
    <row r="920" customFormat="false" ht="15" hidden="false" customHeight="true" outlineLevel="0" collapsed="false">
      <c r="A920" s="6" t="n">
        <v>63310</v>
      </c>
      <c r="B920" s="7" t="s">
        <v>3</v>
      </c>
      <c r="C920" s="7" t="s">
        <v>11</v>
      </c>
    </row>
    <row r="921" customFormat="false" ht="15" hidden="false" customHeight="true" outlineLevel="0" collapsed="false">
      <c r="A921" s="6" t="n">
        <v>63334</v>
      </c>
      <c r="B921" s="7" t="s">
        <v>12</v>
      </c>
      <c r="C921" s="7" t="s">
        <v>13</v>
      </c>
    </row>
    <row r="922" customFormat="false" ht="15" hidden="false" customHeight="true" outlineLevel="0" collapsed="false">
      <c r="A922" s="6" t="n">
        <v>63439</v>
      </c>
      <c r="B922" s="7" t="s">
        <v>12</v>
      </c>
      <c r="C922" s="7" t="s">
        <v>14</v>
      </c>
    </row>
    <row r="923" customFormat="false" ht="15" hidden="false" customHeight="true" outlineLevel="0" collapsed="false">
      <c r="A923" s="6" t="n">
        <v>63474</v>
      </c>
      <c r="B923" s="7" t="s">
        <v>12</v>
      </c>
      <c r="C923" s="7" t="s">
        <v>15</v>
      </c>
    </row>
    <row r="924" customFormat="false" ht="15" hidden="false" customHeight="true" outlineLevel="0" collapsed="false">
      <c r="A924" s="6" t="n">
        <v>63495</v>
      </c>
      <c r="B924" s="7" t="s">
        <v>12</v>
      </c>
      <c r="C924" s="7" t="s">
        <v>16</v>
      </c>
    </row>
    <row r="925" customFormat="false" ht="15" hidden="false" customHeight="true" outlineLevel="0" collapsed="false">
      <c r="A925" s="6" t="n">
        <v>63508</v>
      </c>
      <c r="B925" s="7" t="s">
        <v>20</v>
      </c>
      <c r="C925" s="7" t="s">
        <v>17</v>
      </c>
    </row>
    <row r="926" customFormat="false" ht="15" hidden="false" customHeight="true" outlineLevel="0" collapsed="false">
      <c r="A926" s="6" t="n">
        <v>63513</v>
      </c>
      <c r="B926" s="7" t="s">
        <v>3</v>
      </c>
      <c r="C926" s="7" t="s">
        <v>21</v>
      </c>
      <c r="G926" s="9"/>
    </row>
    <row r="927" customFormat="false" ht="15" hidden="false" customHeight="true" outlineLevel="0" collapsed="false">
      <c r="A927" s="6" t="n">
        <v>63548</v>
      </c>
      <c r="B927" s="7" t="s">
        <v>3</v>
      </c>
      <c r="C927" s="7" t="s">
        <v>18</v>
      </c>
    </row>
    <row r="928" customFormat="false" ht="15" hidden="false" customHeight="true" outlineLevel="0" collapsed="false">
      <c r="A928" s="8" t="n">
        <v>63555</v>
      </c>
      <c r="B928" s="2" t="s">
        <v>3</v>
      </c>
      <c r="C928" s="2" t="s">
        <v>4</v>
      </c>
    </row>
    <row r="929" customFormat="false" ht="15" hidden="false" customHeight="true" outlineLevel="0" collapsed="false">
      <c r="A929" s="8" t="n">
        <v>63611</v>
      </c>
      <c r="B929" s="2" t="s">
        <v>3</v>
      </c>
      <c r="C929" s="2" t="s">
        <v>5</v>
      </c>
    </row>
    <row r="930" customFormat="false" ht="15" hidden="false" customHeight="true" outlineLevel="0" collapsed="false">
      <c r="A930" s="8" t="n">
        <v>63612</v>
      </c>
      <c r="B930" s="2" t="s">
        <v>6</v>
      </c>
      <c r="C930" s="2" t="s">
        <v>5</v>
      </c>
    </row>
    <row r="931" customFormat="false" ht="15" hidden="false" customHeight="true" outlineLevel="0" collapsed="false">
      <c r="A931" s="8" t="n">
        <v>63657</v>
      </c>
      <c r="B931" s="2" t="s">
        <v>7</v>
      </c>
      <c r="C931" s="2" t="s">
        <v>8</v>
      </c>
    </row>
    <row r="932" customFormat="false" ht="15" hidden="false" customHeight="true" outlineLevel="0" collapsed="false">
      <c r="A932" s="8" t="n">
        <v>63665</v>
      </c>
      <c r="B932" s="2" t="s">
        <v>9</v>
      </c>
      <c r="C932" s="2" t="s">
        <v>10</v>
      </c>
    </row>
    <row r="933" customFormat="false" ht="15" hidden="false" customHeight="true" outlineLevel="0" collapsed="false">
      <c r="A933" s="8" t="n">
        <v>63675</v>
      </c>
      <c r="B933" s="2" t="s">
        <v>6</v>
      </c>
      <c r="C933" s="2" t="s">
        <v>11</v>
      </c>
    </row>
    <row r="934" customFormat="false" ht="15" hidden="false" customHeight="true" outlineLevel="0" collapsed="false">
      <c r="A934" s="8" t="n">
        <v>63719</v>
      </c>
      <c r="B934" s="2" t="s">
        <v>12</v>
      </c>
      <c r="C934" s="2" t="s">
        <v>13</v>
      </c>
    </row>
    <row r="935" customFormat="false" ht="15" hidden="false" customHeight="true" outlineLevel="0" collapsed="false">
      <c r="A935" s="8" t="n">
        <v>63804</v>
      </c>
      <c r="B935" s="2" t="s">
        <v>7</v>
      </c>
      <c r="C935" s="2" t="s">
        <v>14</v>
      </c>
    </row>
    <row r="936" customFormat="false" ht="15" hidden="false" customHeight="true" outlineLevel="0" collapsed="false">
      <c r="A936" s="8" t="n">
        <v>63839</v>
      </c>
      <c r="B936" s="2" t="s">
        <v>7</v>
      </c>
      <c r="C936" s="2" t="s">
        <v>15</v>
      </c>
    </row>
    <row r="937" customFormat="false" ht="15" hidden="false" customHeight="true" outlineLevel="0" collapsed="false">
      <c r="A937" s="8" t="n">
        <v>63860</v>
      </c>
      <c r="B937" s="2" t="s">
        <v>7</v>
      </c>
      <c r="C937" s="2" t="s">
        <v>16</v>
      </c>
    </row>
    <row r="938" customFormat="false" ht="15" hidden="false" customHeight="true" outlineLevel="0" collapsed="false">
      <c r="A938" s="8" t="n">
        <v>63873</v>
      </c>
      <c r="B938" s="2" t="s">
        <v>12</v>
      </c>
      <c r="C938" s="2" t="s">
        <v>17</v>
      </c>
    </row>
    <row r="939" customFormat="false" ht="15" hidden="false" customHeight="true" outlineLevel="0" collapsed="false">
      <c r="A939" s="8" t="n">
        <v>63878</v>
      </c>
      <c r="B939" s="2" t="s">
        <v>6</v>
      </c>
      <c r="C939" s="2" t="s">
        <v>21</v>
      </c>
      <c r="G939" s="9"/>
    </row>
    <row r="940" customFormat="false" ht="15" hidden="false" customHeight="true" outlineLevel="0" collapsed="false">
      <c r="A940" s="8" t="n">
        <v>63913</v>
      </c>
      <c r="B940" s="2" t="s">
        <v>6</v>
      </c>
      <c r="C940" s="2" t="s">
        <v>18</v>
      </c>
    </row>
    <row r="941" customFormat="false" ht="15" hidden="false" customHeight="true" outlineLevel="0" collapsed="false">
      <c r="A941" s="6" t="n">
        <v>63920</v>
      </c>
      <c r="B941" s="7" t="s">
        <v>6</v>
      </c>
      <c r="C941" s="7" t="s">
        <v>4</v>
      </c>
    </row>
    <row r="942" customFormat="false" ht="15" hidden="false" customHeight="true" outlineLevel="0" collapsed="false">
      <c r="A942" s="6" t="n">
        <v>63968</v>
      </c>
      <c r="B942" s="7" t="s">
        <v>3</v>
      </c>
      <c r="C942" s="7" t="s">
        <v>5</v>
      </c>
    </row>
    <row r="943" customFormat="false" ht="15" hidden="false" customHeight="true" outlineLevel="0" collapsed="false">
      <c r="A943" s="6" t="n">
        <v>63969</v>
      </c>
      <c r="B943" s="7" t="s">
        <v>6</v>
      </c>
      <c r="C943" s="7" t="s">
        <v>5</v>
      </c>
    </row>
    <row r="944" customFormat="false" ht="15" hidden="false" customHeight="true" outlineLevel="0" collapsed="false">
      <c r="A944" s="6" t="n">
        <v>64014</v>
      </c>
      <c r="B944" s="7" t="s">
        <v>7</v>
      </c>
      <c r="C944" s="7" t="s">
        <v>8</v>
      </c>
    </row>
    <row r="945" customFormat="false" ht="15" hidden="false" customHeight="true" outlineLevel="0" collapsed="false">
      <c r="A945" s="6" t="n">
        <v>64030</v>
      </c>
      <c r="B945" s="7" t="s">
        <v>19</v>
      </c>
      <c r="C945" s="7" t="s">
        <v>10</v>
      </c>
    </row>
    <row r="946" customFormat="false" ht="15" hidden="false" customHeight="true" outlineLevel="0" collapsed="false">
      <c r="A946" s="6" t="n">
        <v>64040</v>
      </c>
      <c r="B946" s="7" t="s">
        <v>20</v>
      </c>
      <c r="C946" s="7" t="s">
        <v>11</v>
      </c>
    </row>
    <row r="947" customFormat="false" ht="15" hidden="false" customHeight="true" outlineLevel="0" collapsed="false">
      <c r="A947" s="6" t="n">
        <v>64076</v>
      </c>
      <c r="B947" s="7" t="s">
        <v>12</v>
      </c>
      <c r="C947" s="7" t="s">
        <v>13</v>
      </c>
    </row>
    <row r="948" customFormat="false" ht="15" hidden="false" customHeight="true" outlineLevel="0" collapsed="false">
      <c r="A948" s="6" t="n">
        <v>64169</v>
      </c>
      <c r="B948" s="7" t="s">
        <v>9</v>
      </c>
      <c r="C948" s="7" t="s">
        <v>14</v>
      </c>
    </row>
    <row r="949" customFormat="false" ht="15" hidden="false" customHeight="true" outlineLevel="0" collapsed="false">
      <c r="A949" s="6" t="n">
        <v>64204</v>
      </c>
      <c r="B949" s="7" t="s">
        <v>9</v>
      </c>
      <c r="C949" s="7" t="s">
        <v>15</v>
      </c>
    </row>
    <row r="950" customFormat="false" ht="15" hidden="false" customHeight="true" outlineLevel="0" collapsed="false">
      <c r="A950" s="6" t="n">
        <v>64225</v>
      </c>
      <c r="B950" s="7" t="s">
        <v>9</v>
      </c>
      <c r="C950" s="7" t="s">
        <v>16</v>
      </c>
    </row>
    <row r="951" customFormat="false" ht="15" hidden="false" customHeight="true" outlineLevel="0" collapsed="false">
      <c r="A951" s="6" t="n">
        <v>64238</v>
      </c>
      <c r="B951" s="7" t="s">
        <v>7</v>
      </c>
      <c r="C951" s="7" t="s">
        <v>17</v>
      </c>
    </row>
    <row r="952" customFormat="false" ht="15" hidden="false" customHeight="true" outlineLevel="0" collapsed="false">
      <c r="A952" s="6" t="n">
        <v>64243</v>
      </c>
      <c r="B952" s="7" t="s">
        <v>20</v>
      </c>
      <c r="C952" s="7" t="s">
        <v>21</v>
      </c>
      <c r="G952" s="9"/>
    </row>
    <row r="953" customFormat="false" ht="15" hidden="false" customHeight="true" outlineLevel="0" collapsed="false">
      <c r="A953" s="6" t="n">
        <v>64278</v>
      </c>
      <c r="B953" s="7" t="s">
        <v>20</v>
      </c>
      <c r="C953" s="7" t="s">
        <v>18</v>
      </c>
    </row>
    <row r="954" customFormat="false" ht="15" hidden="false" customHeight="true" outlineLevel="0" collapsed="false">
      <c r="A954" s="8" t="n">
        <v>64285</v>
      </c>
      <c r="B954" s="2" t="s">
        <v>20</v>
      </c>
      <c r="C954" s="2" t="s">
        <v>4</v>
      </c>
    </row>
    <row r="955" customFormat="false" ht="15" hidden="false" customHeight="true" outlineLevel="0" collapsed="false">
      <c r="A955" s="8" t="n">
        <v>64346</v>
      </c>
      <c r="B955" s="2" t="s">
        <v>3</v>
      </c>
      <c r="C955" s="2" t="s">
        <v>5</v>
      </c>
    </row>
    <row r="956" customFormat="false" ht="15" hidden="false" customHeight="true" outlineLevel="0" collapsed="false">
      <c r="A956" s="8" t="n">
        <v>64347</v>
      </c>
      <c r="B956" s="2" t="s">
        <v>6</v>
      </c>
      <c r="C956" s="2" t="s">
        <v>5</v>
      </c>
    </row>
    <row r="957" customFormat="false" ht="15" hidden="false" customHeight="true" outlineLevel="0" collapsed="false">
      <c r="A957" s="8" t="n">
        <v>64392</v>
      </c>
      <c r="B957" s="2" t="s">
        <v>7</v>
      </c>
      <c r="C957" s="2" t="s">
        <v>8</v>
      </c>
    </row>
    <row r="958" customFormat="false" ht="15" hidden="false" customHeight="true" outlineLevel="0" collapsed="false">
      <c r="A958" s="8" t="n">
        <v>64396</v>
      </c>
      <c r="B958" s="2" t="s">
        <v>6</v>
      </c>
      <c r="C958" s="2" t="s">
        <v>10</v>
      </c>
    </row>
    <row r="959" customFormat="false" ht="15" hidden="false" customHeight="true" outlineLevel="0" collapsed="false">
      <c r="A959" s="8" t="n">
        <v>64406</v>
      </c>
      <c r="B959" s="2" t="s">
        <v>7</v>
      </c>
      <c r="C959" s="2" t="s">
        <v>11</v>
      </c>
    </row>
    <row r="960" customFormat="false" ht="15" hidden="false" customHeight="true" outlineLevel="0" collapsed="false">
      <c r="A960" s="8" t="n">
        <v>64454</v>
      </c>
      <c r="B960" s="2" t="s">
        <v>12</v>
      </c>
      <c r="C960" s="2" t="s">
        <v>13</v>
      </c>
    </row>
    <row r="961" customFormat="false" ht="15" hidden="false" customHeight="true" outlineLevel="0" collapsed="false">
      <c r="A961" s="8" t="n">
        <v>64535</v>
      </c>
      <c r="B961" s="2" t="s">
        <v>3</v>
      </c>
      <c r="C961" s="2" t="s">
        <v>14</v>
      </c>
    </row>
    <row r="962" customFormat="false" ht="15" hidden="false" customHeight="true" outlineLevel="0" collapsed="false">
      <c r="A962" s="8" t="n">
        <v>64570</v>
      </c>
      <c r="B962" s="2" t="s">
        <v>3</v>
      </c>
      <c r="C962" s="2" t="s">
        <v>15</v>
      </c>
    </row>
    <row r="963" customFormat="false" ht="15" hidden="false" customHeight="true" outlineLevel="0" collapsed="false">
      <c r="A963" s="8" t="n">
        <v>64591</v>
      </c>
      <c r="B963" s="2" t="s">
        <v>3</v>
      </c>
      <c r="C963" s="2" t="s">
        <v>16</v>
      </c>
    </row>
    <row r="964" customFormat="false" ht="15" hidden="false" customHeight="true" outlineLevel="0" collapsed="false">
      <c r="A964" s="8" t="n">
        <v>64604</v>
      </c>
      <c r="B964" s="2" t="s">
        <v>19</v>
      </c>
      <c r="C964" s="2" t="s">
        <v>17</v>
      </c>
    </row>
    <row r="965" customFormat="false" ht="15" hidden="false" customHeight="true" outlineLevel="0" collapsed="false">
      <c r="A965" s="8" t="n">
        <v>64609</v>
      </c>
      <c r="B965" s="2" t="s">
        <v>7</v>
      </c>
      <c r="C965" s="2" t="s">
        <v>21</v>
      </c>
      <c r="G965" s="9"/>
    </row>
    <row r="966" customFormat="false" ht="15" hidden="false" customHeight="true" outlineLevel="0" collapsed="false">
      <c r="A966" s="8" t="n">
        <v>64644</v>
      </c>
      <c r="B966" s="2" t="s">
        <v>7</v>
      </c>
      <c r="C966" s="2" t="s">
        <v>18</v>
      </c>
    </row>
    <row r="967" customFormat="false" ht="15" hidden="false" customHeight="true" outlineLevel="0" collapsed="false">
      <c r="A967" s="6" t="n">
        <v>64651</v>
      </c>
      <c r="B967" s="7" t="s">
        <v>7</v>
      </c>
      <c r="C967" s="7" t="s">
        <v>4</v>
      </c>
    </row>
    <row r="968" customFormat="false" ht="15" hidden="false" customHeight="true" outlineLevel="0" collapsed="false">
      <c r="A968" s="6" t="n">
        <v>64703</v>
      </c>
      <c r="B968" s="7" t="s">
        <v>3</v>
      </c>
      <c r="C968" s="7" t="s">
        <v>5</v>
      </c>
    </row>
    <row r="969" customFormat="false" ht="15" hidden="false" customHeight="true" outlineLevel="0" collapsed="false">
      <c r="A969" s="6" t="n">
        <v>64704</v>
      </c>
      <c r="B969" s="7" t="s">
        <v>6</v>
      </c>
      <c r="C969" s="7" t="s">
        <v>5</v>
      </c>
    </row>
    <row r="970" customFormat="false" ht="15" hidden="false" customHeight="true" outlineLevel="0" collapsed="false">
      <c r="A970" s="6" t="n">
        <v>64749</v>
      </c>
      <c r="B970" s="7" t="s">
        <v>7</v>
      </c>
      <c r="C970" s="7" t="s">
        <v>8</v>
      </c>
    </row>
    <row r="971" customFormat="false" ht="15" hidden="false" customHeight="true" outlineLevel="0" collapsed="false">
      <c r="A971" s="6" t="n">
        <v>64761</v>
      </c>
      <c r="B971" s="7" t="s">
        <v>20</v>
      </c>
      <c r="C971" s="7" t="s">
        <v>10</v>
      </c>
    </row>
    <row r="972" customFormat="false" ht="15" hidden="false" customHeight="true" outlineLevel="0" collapsed="false">
      <c r="A972" s="6" t="n">
        <v>64771</v>
      </c>
      <c r="B972" s="7" t="s">
        <v>9</v>
      </c>
      <c r="C972" s="7" t="s">
        <v>11</v>
      </c>
    </row>
    <row r="973" customFormat="false" ht="15" hidden="false" customHeight="true" outlineLevel="0" collapsed="false">
      <c r="A973" s="6" t="n">
        <v>64811</v>
      </c>
      <c r="B973" s="7" t="s">
        <v>12</v>
      </c>
      <c r="C973" s="7" t="s">
        <v>13</v>
      </c>
    </row>
    <row r="974" customFormat="false" ht="15" hidden="false" customHeight="true" outlineLevel="0" collapsed="false">
      <c r="A974" s="6" t="n">
        <v>64900</v>
      </c>
      <c r="B974" s="7" t="s">
        <v>6</v>
      </c>
      <c r="C974" s="7" t="s">
        <v>14</v>
      </c>
    </row>
    <row r="975" customFormat="false" ht="15" hidden="false" customHeight="true" outlineLevel="0" collapsed="false">
      <c r="A975" s="6" t="n">
        <v>64935</v>
      </c>
      <c r="B975" s="7" t="s">
        <v>6</v>
      </c>
      <c r="C975" s="7" t="s">
        <v>15</v>
      </c>
    </row>
    <row r="976" customFormat="false" ht="15" hidden="false" customHeight="true" outlineLevel="0" collapsed="false">
      <c r="A976" s="6" t="n">
        <v>64956</v>
      </c>
      <c r="B976" s="7" t="s">
        <v>6</v>
      </c>
      <c r="C976" s="7" t="s">
        <v>16</v>
      </c>
    </row>
    <row r="977" customFormat="false" ht="15" hidden="false" customHeight="true" outlineLevel="0" collapsed="false">
      <c r="A977" s="6" t="n">
        <v>64969</v>
      </c>
      <c r="B977" s="7" t="s">
        <v>3</v>
      </c>
      <c r="C977" s="7" t="s">
        <v>17</v>
      </c>
    </row>
    <row r="978" customFormat="false" ht="15" hidden="false" customHeight="true" outlineLevel="0" collapsed="false">
      <c r="A978" s="6" t="n">
        <v>64974</v>
      </c>
      <c r="B978" s="7" t="s">
        <v>9</v>
      </c>
      <c r="C978" s="7" t="s">
        <v>21</v>
      </c>
      <c r="G978" s="9"/>
    </row>
    <row r="979" customFormat="false" ht="15" hidden="false" customHeight="true" outlineLevel="0" collapsed="false">
      <c r="A979" s="6" t="n">
        <v>65009</v>
      </c>
      <c r="B979" s="7" t="s">
        <v>9</v>
      </c>
      <c r="C979" s="7" t="s">
        <v>18</v>
      </c>
    </row>
    <row r="980" customFormat="false" ht="15" hidden="false" customHeight="true" outlineLevel="0" collapsed="false">
      <c r="A980" s="8" t="n">
        <v>65016</v>
      </c>
      <c r="B980" s="2" t="s">
        <v>9</v>
      </c>
      <c r="C980" s="2" t="s">
        <v>4</v>
      </c>
    </row>
    <row r="981" customFormat="false" ht="15" hidden="false" customHeight="true" outlineLevel="0" collapsed="false">
      <c r="A981" s="8" t="n">
        <v>65060</v>
      </c>
      <c r="B981" s="2" t="s">
        <v>3</v>
      </c>
      <c r="C981" s="2" t="s">
        <v>5</v>
      </c>
    </row>
    <row r="982" customFormat="false" ht="15" hidden="false" customHeight="true" outlineLevel="0" collapsed="false">
      <c r="A982" s="8" t="n">
        <v>65061</v>
      </c>
      <c r="B982" s="2" t="s">
        <v>6</v>
      </c>
      <c r="C982" s="2" t="s">
        <v>5</v>
      </c>
    </row>
    <row r="983" customFormat="false" ht="15" hidden="false" customHeight="true" outlineLevel="0" collapsed="false">
      <c r="A983" s="8" t="n">
        <v>65106</v>
      </c>
      <c r="B983" s="2" t="s">
        <v>7</v>
      </c>
      <c r="C983" s="2" t="s">
        <v>8</v>
      </c>
    </row>
    <row r="984" customFormat="false" ht="15" hidden="false" customHeight="true" outlineLevel="0" collapsed="false">
      <c r="A984" s="8" t="n">
        <v>65126</v>
      </c>
      <c r="B984" s="2" t="s">
        <v>12</v>
      </c>
      <c r="C984" s="2" t="s">
        <v>10</v>
      </c>
    </row>
    <row r="985" customFormat="false" ht="15" hidden="false" customHeight="true" outlineLevel="0" collapsed="false">
      <c r="A985" s="8" t="n">
        <v>65136</v>
      </c>
      <c r="B985" s="2" t="s">
        <v>19</v>
      </c>
      <c r="C985" s="2" t="s">
        <v>11</v>
      </c>
    </row>
    <row r="986" customFormat="false" ht="15" hidden="false" customHeight="true" outlineLevel="0" collapsed="false">
      <c r="A986" s="8" t="n">
        <v>65168</v>
      </c>
      <c r="B986" s="2" t="s">
        <v>12</v>
      </c>
      <c r="C986" s="2" t="s">
        <v>13</v>
      </c>
    </row>
    <row r="987" customFormat="false" ht="15" hidden="false" customHeight="true" outlineLevel="0" collapsed="false">
      <c r="A987" s="8" t="n">
        <v>65265</v>
      </c>
      <c r="B987" s="2" t="s">
        <v>20</v>
      </c>
      <c r="C987" s="2" t="s">
        <v>14</v>
      </c>
    </row>
    <row r="988" customFormat="false" ht="15" hidden="false" customHeight="true" outlineLevel="0" collapsed="false">
      <c r="A988" s="8" t="n">
        <v>65300</v>
      </c>
      <c r="B988" s="2" t="s">
        <v>20</v>
      </c>
      <c r="C988" s="2" t="s">
        <v>15</v>
      </c>
    </row>
    <row r="989" customFormat="false" ht="15" hidden="false" customHeight="true" outlineLevel="0" collapsed="false">
      <c r="A989" s="8" t="n">
        <v>65321</v>
      </c>
      <c r="B989" s="2" t="s">
        <v>20</v>
      </c>
      <c r="C989" s="2" t="s">
        <v>16</v>
      </c>
    </row>
    <row r="990" customFormat="false" ht="15" hidden="false" customHeight="true" outlineLevel="0" collapsed="false">
      <c r="A990" s="8" t="n">
        <v>65334</v>
      </c>
      <c r="B990" s="2" t="s">
        <v>6</v>
      </c>
      <c r="C990" s="2" t="s">
        <v>17</v>
      </c>
    </row>
    <row r="991" customFormat="false" ht="15" hidden="false" customHeight="true" outlineLevel="0" collapsed="false">
      <c r="A991" s="8" t="n">
        <v>65339</v>
      </c>
      <c r="B991" s="2" t="s">
        <v>19</v>
      </c>
      <c r="C991" s="2" t="s">
        <v>21</v>
      </c>
      <c r="G991" s="9"/>
    </row>
    <row r="992" customFormat="false" ht="15" hidden="false" customHeight="true" outlineLevel="0" collapsed="false">
      <c r="A992" s="8" t="n">
        <v>65374</v>
      </c>
      <c r="B992" s="2" t="s">
        <v>19</v>
      </c>
      <c r="C992" s="2" t="s">
        <v>18</v>
      </c>
    </row>
    <row r="993" customFormat="false" ht="15" hidden="false" customHeight="true" outlineLevel="0" collapsed="false">
      <c r="A993" s="6" t="n">
        <v>65381</v>
      </c>
      <c r="B993" s="7" t="s">
        <v>19</v>
      </c>
      <c r="C993" s="7" t="s">
        <v>4</v>
      </c>
    </row>
    <row r="994" customFormat="false" ht="15" hidden="false" customHeight="true" outlineLevel="0" collapsed="false">
      <c r="A994" s="6" t="n">
        <v>65445</v>
      </c>
      <c r="B994" s="7" t="s">
        <v>3</v>
      </c>
      <c r="C994" s="7" t="s">
        <v>5</v>
      </c>
    </row>
    <row r="995" customFormat="false" ht="15" hidden="false" customHeight="true" outlineLevel="0" collapsed="false">
      <c r="A995" s="6" t="n">
        <v>65446</v>
      </c>
      <c r="B995" s="7" t="s">
        <v>6</v>
      </c>
      <c r="C995" s="7" t="s">
        <v>5</v>
      </c>
    </row>
    <row r="996" customFormat="false" ht="15" hidden="false" customHeight="true" outlineLevel="0" collapsed="false">
      <c r="A996" s="6" t="n">
        <v>65491</v>
      </c>
      <c r="B996" s="7" t="s">
        <v>7</v>
      </c>
      <c r="C996" s="7" t="s">
        <v>8</v>
      </c>
    </row>
    <row r="997" customFormat="false" ht="15" hidden="false" customHeight="true" outlineLevel="0" collapsed="false">
      <c r="A997" s="6" t="n">
        <v>65491</v>
      </c>
      <c r="B997" s="7" t="s">
        <v>7</v>
      </c>
      <c r="C997" s="7" t="s">
        <v>10</v>
      </c>
    </row>
    <row r="998" customFormat="false" ht="15" hidden="false" customHeight="true" outlineLevel="0" collapsed="false">
      <c r="A998" s="6" t="n">
        <v>65501</v>
      </c>
      <c r="B998" s="7" t="s">
        <v>3</v>
      </c>
      <c r="C998" s="7" t="s">
        <v>11</v>
      </c>
    </row>
    <row r="999" customFormat="false" ht="15" hidden="false" customHeight="true" outlineLevel="0" collapsed="false">
      <c r="A999" s="6" t="n">
        <v>65553</v>
      </c>
      <c r="B999" s="7" t="s">
        <v>12</v>
      </c>
      <c r="C999" s="7" t="s">
        <v>13</v>
      </c>
    </row>
    <row r="1000" customFormat="false" ht="15" hidden="false" customHeight="true" outlineLevel="0" collapsed="false">
      <c r="A1000" s="6" t="n">
        <v>65630</v>
      </c>
      <c r="B1000" s="7" t="s">
        <v>12</v>
      </c>
      <c r="C1000" s="7" t="s">
        <v>14</v>
      </c>
    </row>
    <row r="1001" customFormat="false" ht="15" hidden="false" customHeight="true" outlineLevel="0" collapsed="false">
      <c r="A1001" s="6" t="n">
        <v>65665</v>
      </c>
      <c r="B1001" s="7" t="s">
        <v>12</v>
      </c>
      <c r="C1001" s="7" t="s">
        <v>15</v>
      </c>
    </row>
    <row r="1002" customFormat="false" ht="15" hidden="false" customHeight="true" outlineLevel="0" collapsed="false">
      <c r="A1002" s="6" t="n">
        <v>65686</v>
      </c>
      <c r="B1002" s="7" t="s">
        <v>12</v>
      </c>
      <c r="C1002" s="7" t="s">
        <v>16</v>
      </c>
    </row>
    <row r="1003" customFormat="false" ht="15" hidden="false" customHeight="true" outlineLevel="0" collapsed="false">
      <c r="A1003" s="6" t="n">
        <v>65699</v>
      </c>
      <c r="B1003" s="7" t="s">
        <v>20</v>
      </c>
      <c r="C1003" s="7" t="s">
        <v>17</v>
      </c>
    </row>
    <row r="1004" customFormat="false" ht="15" hidden="false" customHeight="true" outlineLevel="0" collapsed="false">
      <c r="A1004" s="6" t="n">
        <v>65704</v>
      </c>
      <c r="B1004" s="7" t="s">
        <v>3</v>
      </c>
      <c r="C1004" s="7" t="s">
        <v>21</v>
      </c>
      <c r="G1004" s="9"/>
    </row>
    <row r="1005" customFormat="false" ht="15" hidden="false" customHeight="true" outlineLevel="0" collapsed="false">
      <c r="A1005" s="6" t="n">
        <v>65739</v>
      </c>
      <c r="B1005" s="7" t="s">
        <v>3</v>
      </c>
      <c r="C1005" s="7" t="s">
        <v>18</v>
      </c>
    </row>
    <row r="1006" customFormat="false" ht="15" hidden="false" customHeight="true" outlineLevel="0" collapsed="false">
      <c r="A1006" s="8" t="n">
        <v>65746</v>
      </c>
      <c r="B1006" s="2" t="s">
        <v>3</v>
      </c>
      <c r="C1006" s="2" t="s">
        <v>4</v>
      </c>
    </row>
    <row r="1007" customFormat="false" ht="15" hidden="false" customHeight="true" outlineLevel="0" collapsed="false">
      <c r="A1007" s="8" t="n">
        <v>65795</v>
      </c>
      <c r="B1007" s="2" t="s">
        <v>3</v>
      </c>
      <c r="C1007" s="2" t="s">
        <v>5</v>
      </c>
    </row>
    <row r="1008" customFormat="false" ht="15" hidden="false" customHeight="true" outlineLevel="0" collapsed="false">
      <c r="A1008" s="8" t="n">
        <v>65796</v>
      </c>
      <c r="B1008" s="2" t="s">
        <v>6</v>
      </c>
      <c r="C1008" s="2" t="s">
        <v>5</v>
      </c>
    </row>
    <row r="1009" customFormat="false" ht="15" hidden="false" customHeight="true" outlineLevel="0" collapsed="false">
      <c r="A1009" s="8" t="n">
        <v>65841</v>
      </c>
      <c r="B1009" s="2" t="s">
        <v>7</v>
      </c>
      <c r="C1009" s="2" t="s">
        <v>8</v>
      </c>
    </row>
    <row r="1010" customFormat="false" ht="15" hidden="false" customHeight="true" outlineLevel="0" collapsed="false">
      <c r="A1010" s="8" t="n">
        <v>65857</v>
      </c>
      <c r="B1010" s="2" t="s">
        <v>19</v>
      </c>
      <c r="C1010" s="2" t="s">
        <v>10</v>
      </c>
    </row>
    <row r="1011" customFormat="false" ht="15" hidden="false" customHeight="true" outlineLevel="0" collapsed="false">
      <c r="A1011" s="8" t="n">
        <v>65867</v>
      </c>
      <c r="B1011" s="2" t="s">
        <v>20</v>
      </c>
      <c r="C1011" s="2" t="s">
        <v>11</v>
      </c>
    </row>
    <row r="1012" customFormat="false" ht="15" hidden="false" customHeight="true" outlineLevel="0" collapsed="false">
      <c r="A1012" s="8" t="n">
        <v>65903</v>
      </c>
      <c r="B1012" s="2" t="s">
        <v>12</v>
      </c>
      <c r="C1012" s="2" t="s">
        <v>13</v>
      </c>
    </row>
    <row r="1013" customFormat="false" ht="15" hidden="false" customHeight="true" outlineLevel="0" collapsed="false">
      <c r="A1013" s="8" t="n">
        <v>65996</v>
      </c>
      <c r="B1013" s="2" t="s">
        <v>9</v>
      </c>
      <c r="C1013" s="2" t="s">
        <v>14</v>
      </c>
    </row>
    <row r="1014" customFormat="false" ht="15" hidden="false" customHeight="true" outlineLevel="0" collapsed="false">
      <c r="A1014" s="8" t="n">
        <v>66031</v>
      </c>
      <c r="B1014" s="2" t="s">
        <v>9</v>
      </c>
      <c r="C1014" s="2" t="s">
        <v>15</v>
      </c>
    </row>
    <row r="1015" customFormat="false" ht="15" hidden="false" customHeight="true" outlineLevel="0" collapsed="false">
      <c r="A1015" s="8" t="n">
        <v>66052</v>
      </c>
      <c r="B1015" s="2" t="s">
        <v>9</v>
      </c>
      <c r="C1015" s="2" t="s">
        <v>16</v>
      </c>
    </row>
    <row r="1016" customFormat="false" ht="15" hidden="false" customHeight="true" outlineLevel="0" collapsed="false">
      <c r="A1016" s="8" t="n">
        <v>66065</v>
      </c>
      <c r="B1016" s="2" t="s">
        <v>7</v>
      </c>
      <c r="C1016" s="2" t="s">
        <v>17</v>
      </c>
    </row>
    <row r="1017" customFormat="false" ht="15" hidden="false" customHeight="true" outlineLevel="0" collapsed="false">
      <c r="A1017" s="8" t="n">
        <v>66070</v>
      </c>
      <c r="B1017" s="2" t="s">
        <v>20</v>
      </c>
      <c r="C1017" s="2" t="s">
        <v>21</v>
      </c>
      <c r="G1017" s="9"/>
    </row>
    <row r="1018" customFormat="false" ht="15" hidden="false" customHeight="true" outlineLevel="0" collapsed="false">
      <c r="A1018" s="8" t="n">
        <v>66105</v>
      </c>
      <c r="B1018" s="2" t="s">
        <v>20</v>
      </c>
      <c r="C1018" s="2" t="s">
        <v>18</v>
      </c>
    </row>
    <row r="1019" customFormat="false" ht="15" hidden="false" customHeight="true" outlineLevel="0" collapsed="false">
      <c r="A1019" s="6" t="n">
        <v>66112</v>
      </c>
      <c r="B1019" s="7" t="s">
        <v>20</v>
      </c>
      <c r="C1019" s="7" t="s">
        <v>4</v>
      </c>
    </row>
    <row r="1020" customFormat="false" ht="15" hidden="false" customHeight="true" outlineLevel="0" collapsed="false">
      <c r="A1020" s="6" t="n">
        <v>66152</v>
      </c>
      <c r="B1020" s="7" t="s">
        <v>3</v>
      </c>
      <c r="C1020" s="7" t="s">
        <v>5</v>
      </c>
    </row>
    <row r="1021" customFormat="false" ht="15" hidden="false" customHeight="true" outlineLevel="0" collapsed="false">
      <c r="A1021" s="6" t="n">
        <v>66153</v>
      </c>
      <c r="B1021" s="7" t="s">
        <v>6</v>
      </c>
      <c r="C1021" s="7" t="s">
        <v>5</v>
      </c>
    </row>
    <row r="1022" customFormat="false" ht="15" hidden="false" customHeight="true" outlineLevel="0" collapsed="false">
      <c r="A1022" s="6" t="n">
        <v>66198</v>
      </c>
      <c r="B1022" s="7" t="s">
        <v>7</v>
      </c>
      <c r="C1022" s="7" t="s">
        <v>8</v>
      </c>
    </row>
    <row r="1023" customFormat="false" ht="15" hidden="false" customHeight="true" outlineLevel="0" collapsed="false">
      <c r="A1023" s="6" t="n">
        <v>66222</v>
      </c>
      <c r="B1023" s="7" t="s">
        <v>3</v>
      </c>
      <c r="C1023" s="7" t="s">
        <v>10</v>
      </c>
    </row>
    <row r="1024" customFormat="false" ht="15" hidden="false" customHeight="true" outlineLevel="0" collapsed="false">
      <c r="A1024" s="6" t="n">
        <v>66232</v>
      </c>
      <c r="B1024" s="7" t="s">
        <v>12</v>
      </c>
      <c r="C1024" s="7" t="s">
        <v>11</v>
      </c>
    </row>
    <row r="1025" customFormat="false" ht="15" hidden="false" customHeight="true" outlineLevel="0" collapsed="false">
      <c r="A1025" s="6" t="n">
        <v>66260</v>
      </c>
      <c r="B1025" s="7" t="s">
        <v>12</v>
      </c>
      <c r="C1025" s="7" t="s">
        <v>13</v>
      </c>
    </row>
    <row r="1026" customFormat="false" ht="15" hidden="false" customHeight="true" outlineLevel="0" collapsed="false">
      <c r="A1026" s="6" t="n">
        <v>66361</v>
      </c>
      <c r="B1026" s="7" t="s">
        <v>19</v>
      </c>
      <c r="C1026" s="7" t="s">
        <v>14</v>
      </c>
    </row>
    <row r="1027" customFormat="false" ht="15" hidden="false" customHeight="true" outlineLevel="0" collapsed="false">
      <c r="A1027" s="6" t="n">
        <v>66396</v>
      </c>
      <c r="B1027" s="7" t="s">
        <v>19</v>
      </c>
      <c r="C1027" s="7" t="s">
        <v>15</v>
      </c>
    </row>
    <row r="1028" customFormat="false" ht="15" hidden="false" customHeight="true" outlineLevel="0" collapsed="false">
      <c r="A1028" s="6" t="n">
        <v>66417</v>
      </c>
      <c r="B1028" s="7" t="s">
        <v>19</v>
      </c>
      <c r="C1028" s="7" t="s">
        <v>16</v>
      </c>
    </row>
    <row r="1029" customFormat="false" ht="15" hidden="false" customHeight="true" outlineLevel="0" collapsed="false">
      <c r="A1029" s="6" t="n">
        <v>66430</v>
      </c>
      <c r="B1029" s="7" t="s">
        <v>9</v>
      </c>
      <c r="C1029" s="7" t="s">
        <v>17</v>
      </c>
    </row>
    <row r="1030" customFormat="false" ht="15" hidden="false" customHeight="true" outlineLevel="0" collapsed="false">
      <c r="A1030" s="6" t="n">
        <v>66435</v>
      </c>
      <c r="B1030" s="7" t="s">
        <v>12</v>
      </c>
      <c r="C1030" s="7" t="s">
        <v>21</v>
      </c>
      <c r="G1030" s="9"/>
    </row>
    <row r="1031" customFormat="false" ht="15" hidden="false" customHeight="true" outlineLevel="0" collapsed="false">
      <c r="A1031" s="6" t="n">
        <v>66470</v>
      </c>
      <c r="B1031" s="7" t="s">
        <v>12</v>
      </c>
      <c r="C1031" s="7" t="s">
        <v>18</v>
      </c>
    </row>
    <row r="1032" customFormat="false" ht="15" hidden="false" customHeight="true" outlineLevel="0" collapsed="false">
      <c r="A1032" s="8" t="n">
        <v>66477</v>
      </c>
      <c r="B1032" s="2" t="s">
        <v>12</v>
      </c>
      <c r="C1032" s="2" t="s">
        <v>4</v>
      </c>
    </row>
    <row r="1033" customFormat="false" ht="15" hidden="false" customHeight="true" outlineLevel="0" collapsed="false">
      <c r="A1033" s="8" t="n">
        <v>66537</v>
      </c>
      <c r="B1033" s="2" t="s">
        <v>3</v>
      </c>
      <c r="C1033" s="2" t="s">
        <v>5</v>
      </c>
    </row>
    <row r="1034" customFormat="false" ht="15" hidden="false" customHeight="true" outlineLevel="0" collapsed="false">
      <c r="A1034" s="8" t="n">
        <v>66538</v>
      </c>
      <c r="B1034" s="2" t="s">
        <v>6</v>
      </c>
      <c r="C1034" s="2" t="s">
        <v>5</v>
      </c>
    </row>
    <row r="1035" customFormat="false" ht="15" hidden="false" customHeight="true" outlineLevel="0" collapsed="false">
      <c r="A1035" s="8" t="n">
        <v>66583</v>
      </c>
      <c r="B1035" s="2" t="s">
        <v>7</v>
      </c>
      <c r="C1035" s="2" t="s">
        <v>8</v>
      </c>
    </row>
    <row r="1036" customFormat="false" ht="15" hidden="false" customHeight="true" outlineLevel="0" collapsed="false">
      <c r="A1036" s="8" t="n">
        <v>66587</v>
      </c>
      <c r="B1036" s="2" t="s">
        <v>6</v>
      </c>
      <c r="C1036" s="2" t="s">
        <v>10</v>
      </c>
    </row>
    <row r="1037" customFormat="false" ht="15" hidden="false" customHeight="true" outlineLevel="0" collapsed="false">
      <c r="A1037" s="8" t="n">
        <v>66597</v>
      </c>
      <c r="B1037" s="2" t="s">
        <v>7</v>
      </c>
      <c r="C1037" s="2" t="s">
        <v>11</v>
      </c>
    </row>
    <row r="1038" customFormat="false" ht="15" hidden="false" customHeight="true" outlineLevel="0" collapsed="false">
      <c r="A1038" s="8" t="n">
        <v>66645</v>
      </c>
      <c r="B1038" s="2" t="s">
        <v>12</v>
      </c>
      <c r="C1038" s="2" t="s">
        <v>13</v>
      </c>
    </row>
    <row r="1039" customFormat="false" ht="15" hidden="false" customHeight="true" outlineLevel="0" collapsed="false">
      <c r="A1039" s="8" t="n">
        <v>66726</v>
      </c>
      <c r="B1039" s="2" t="s">
        <v>3</v>
      </c>
      <c r="C1039" s="2" t="s">
        <v>14</v>
      </c>
    </row>
    <row r="1040" customFormat="false" ht="15" hidden="false" customHeight="true" outlineLevel="0" collapsed="false">
      <c r="A1040" s="8" t="n">
        <v>66761</v>
      </c>
      <c r="B1040" s="2" t="s">
        <v>3</v>
      </c>
      <c r="C1040" s="2" t="s">
        <v>15</v>
      </c>
    </row>
    <row r="1041" customFormat="false" ht="15" hidden="false" customHeight="true" outlineLevel="0" collapsed="false">
      <c r="A1041" s="8" t="n">
        <v>66782</v>
      </c>
      <c r="B1041" s="2" t="s">
        <v>3</v>
      </c>
      <c r="C1041" s="2" t="s">
        <v>16</v>
      </c>
    </row>
    <row r="1042" customFormat="false" ht="15" hidden="false" customHeight="true" outlineLevel="0" collapsed="false">
      <c r="A1042" s="8" t="n">
        <v>66795</v>
      </c>
      <c r="B1042" s="2" t="s">
        <v>19</v>
      </c>
      <c r="C1042" s="2" t="s">
        <v>17</v>
      </c>
    </row>
    <row r="1043" customFormat="false" ht="15" hidden="false" customHeight="true" outlineLevel="0" collapsed="false">
      <c r="A1043" s="8" t="n">
        <v>66800</v>
      </c>
      <c r="B1043" s="2" t="s">
        <v>7</v>
      </c>
      <c r="C1043" s="2" t="s">
        <v>21</v>
      </c>
      <c r="G1043" s="9"/>
    </row>
    <row r="1044" customFormat="false" ht="15" hidden="false" customHeight="true" outlineLevel="0" collapsed="false">
      <c r="A1044" s="8" t="n">
        <v>66835</v>
      </c>
      <c r="B1044" s="2" t="s">
        <v>7</v>
      </c>
      <c r="C1044" s="2" t="s">
        <v>18</v>
      </c>
    </row>
    <row r="1045" customFormat="false" ht="15" hidden="false" customHeight="true" outlineLevel="0" collapsed="false">
      <c r="A1045" s="6" t="n">
        <v>66842</v>
      </c>
      <c r="B1045" s="7" t="s">
        <v>7</v>
      </c>
      <c r="C1045" s="7" t="s">
        <v>4</v>
      </c>
    </row>
    <row r="1046" customFormat="false" ht="15" hidden="false" customHeight="true" outlineLevel="0" collapsed="false">
      <c r="A1046" s="6" t="n">
        <v>66887</v>
      </c>
      <c r="B1046" s="7" t="s">
        <v>3</v>
      </c>
      <c r="C1046" s="7" t="s">
        <v>5</v>
      </c>
    </row>
    <row r="1047" customFormat="false" ht="15" hidden="false" customHeight="true" outlineLevel="0" collapsed="false">
      <c r="A1047" s="6" t="n">
        <v>66888</v>
      </c>
      <c r="B1047" s="7" t="s">
        <v>6</v>
      </c>
      <c r="C1047" s="7" t="s">
        <v>5</v>
      </c>
    </row>
    <row r="1048" customFormat="false" ht="15" hidden="false" customHeight="true" outlineLevel="0" collapsed="false">
      <c r="A1048" s="6" t="n">
        <v>66933</v>
      </c>
      <c r="B1048" s="7" t="s">
        <v>7</v>
      </c>
      <c r="C1048" s="7" t="s">
        <v>8</v>
      </c>
    </row>
    <row r="1049" customFormat="false" ht="15" hidden="false" customHeight="true" outlineLevel="0" collapsed="false">
      <c r="A1049" s="6" t="n">
        <v>66952</v>
      </c>
      <c r="B1049" s="7" t="s">
        <v>20</v>
      </c>
      <c r="C1049" s="7" t="s">
        <v>10</v>
      </c>
    </row>
    <row r="1050" customFormat="false" ht="15" hidden="false" customHeight="true" outlineLevel="0" collapsed="false">
      <c r="A1050" s="6" t="n">
        <v>66962</v>
      </c>
      <c r="B1050" s="7" t="s">
        <v>9</v>
      </c>
      <c r="C1050" s="7" t="s">
        <v>11</v>
      </c>
    </row>
    <row r="1051" customFormat="false" ht="15" hidden="false" customHeight="true" outlineLevel="0" collapsed="false">
      <c r="A1051" s="6" t="n">
        <v>66995</v>
      </c>
      <c r="B1051" s="7" t="s">
        <v>12</v>
      </c>
      <c r="C1051" s="7" t="s">
        <v>13</v>
      </c>
    </row>
    <row r="1052" customFormat="false" ht="15" hidden="false" customHeight="true" outlineLevel="0" collapsed="false">
      <c r="A1052" s="6" t="n">
        <v>67091</v>
      </c>
      <c r="B1052" s="7" t="s">
        <v>6</v>
      </c>
      <c r="C1052" s="7" t="s">
        <v>14</v>
      </c>
    </row>
    <row r="1053" customFormat="false" ht="15" hidden="false" customHeight="true" outlineLevel="0" collapsed="false">
      <c r="A1053" s="6" t="n">
        <v>67126</v>
      </c>
      <c r="B1053" s="7" t="s">
        <v>6</v>
      </c>
      <c r="C1053" s="7" t="s">
        <v>15</v>
      </c>
    </row>
    <row r="1054" customFormat="false" ht="15" hidden="false" customHeight="true" outlineLevel="0" collapsed="false">
      <c r="A1054" s="6" t="n">
        <v>67147</v>
      </c>
      <c r="B1054" s="7" t="s">
        <v>6</v>
      </c>
      <c r="C1054" s="7" t="s">
        <v>16</v>
      </c>
    </row>
    <row r="1055" customFormat="false" ht="15" hidden="false" customHeight="true" outlineLevel="0" collapsed="false">
      <c r="A1055" s="6" t="n">
        <v>67160</v>
      </c>
      <c r="B1055" s="7" t="s">
        <v>3</v>
      </c>
      <c r="C1055" s="7" t="s">
        <v>17</v>
      </c>
    </row>
    <row r="1056" customFormat="false" ht="15" hidden="false" customHeight="true" outlineLevel="0" collapsed="false">
      <c r="A1056" s="6" t="n">
        <v>67165</v>
      </c>
      <c r="B1056" s="7" t="s">
        <v>9</v>
      </c>
      <c r="C1056" s="7" t="s">
        <v>21</v>
      </c>
      <c r="G1056" s="9"/>
    </row>
    <row r="1057" customFormat="false" ht="15" hidden="false" customHeight="true" outlineLevel="0" collapsed="false">
      <c r="A1057" s="6" t="n">
        <v>67200</v>
      </c>
      <c r="B1057" s="7" t="s">
        <v>9</v>
      </c>
      <c r="C1057" s="7" t="s">
        <v>18</v>
      </c>
    </row>
    <row r="1058" customFormat="false" ht="15" hidden="false" customHeight="true" outlineLevel="0" collapsed="false">
      <c r="A1058" s="8" t="n">
        <v>67207</v>
      </c>
      <c r="B1058" s="2" t="s">
        <v>9</v>
      </c>
      <c r="C1058" s="2" t="s">
        <v>4</v>
      </c>
    </row>
    <row r="1059" customFormat="false" ht="15" hidden="false" customHeight="true" outlineLevel="0" collapsed="false">
      <c r="A1059" s="8" t="n">
        <v>67244</v>
      </c>
      <c r="B1059" s="2" t="s">
        <v>3</v>
      </c>
      <c r="C1059" s="2" t="s">
        <v>5</v>
      </c>
    </row>
    <row r="1060" customFormat="false" ht="15" hidden="false" customHeight="true" outlineLevel="0" collapsed="false">
      <c r="A1060" s="8" t="n">
        <v>67245</v>
      </c>
      <c r="B1060" s="2" t="s">
        <v>6</v>
      </c>
      <c r="C1060" s="2" t="s">
        <v>5</v>
      </c>
    </row>
    <row r="1061" customFormat="false" ht="15" hidden="false" customHeight="true" outlineLevel="0" collapsed="false">
      <c r="A1061" s="8" t="n">
        <v>67290</v>
      </c>
      <c r="B1061" s="2" t="s">
        <v>7</v>
      </c>
      <c r="C1061" s="2" t="s">
        <v>8</v>
      </c>
    </row>
    <row r="1062" customFormat="false" ht="15" hidden="false" customHeight="true" outlineLevel="0" collapsed="false">
      <c r="A1062" s="8" t="n">
        <v>67318</v>
      </c>
      <c r="B1062" s="2" t="s">
        <v>7</v>
      </c>
      <c r="C1062" s="2" t="s">
        <v>10</v>
      </c>
    </row>
    <row r="1063" customFormat="false" ht="15" hidden="false" customHeight="true" outlineLevel="0" collapsed="false">
      <c r="A1063" s="8" t="n">
        <v>67328</v>
      </c>
      <c r="B1063" s="2" t="s">
        <v>3</v>
      </c>
      <c r="C1063" s="2" t="s">
        <v>11</v>
      </c>
    </row>
    <row r="1064" customFormat="false" ht="15" hidden="false" customHeight="true" outlineLevel="0" collapsed="false">
      <c r="A1064" s="8" t="n">
        <v>67352</v>
      </c>
      <c r="B1064" s="2" t="s">
        <v>12</v>
      </c>
      <c r="C1064" s="2" t="s">
        <v>13</v>
      </c>
    </row>
    <row r="1065" customFormat="false" ht="15" hidden="false" customHeight="true" outlineLevel="0" collapsed="false">
      <c r="A1065" s="8" t="n">
        <v>67457</v>
      </c>
      <c r="B1065" s="2" t="s">
        <v>12</v>
      </c>
      <c r="C1065" s="2" t="s">
        <v>14</v>
      </c>
    </row>
    <row r="1066" customFormat="false" ht="15" hidden="false" customHeight="true" outlineLevel="0" collapsed="false">
      <c r="A1066" s="8" t="n">
        <v>67492</v>
      </c>
      <c r="B1066" s="2" t="s">
        <v>12</v>
      </c>
      <c r="C1066" s="2" t="s">
        <v>15</v>
      </c>
    </row>
    <row r="1067" customFormat="false" ht="15" hidden="false" customHeight="true" outlineLevel="0" collapsed="false">
      <c r="A1067" s="8" t="n">
        <v>67513</v>
      </c>
      <c r="B1067" s="2" t="s">
        <v>12</v>
      </c>
      <c r="C1067" s="2" t="s">
        <v>16</v>
      </c>
    </row>
    <row r="1068" customFormat="false" ht="15" hidden="false" customHeight="true" outlineLevel="0" collapsed="false">
      <c r="A1068" s="8" t="n">
        <v>67526</v>
      </c>
      <c r="B1068" s="2" t="s">
        <v>20</v>
      </c>
      <c r="C1068" s="2" t="s">
        <v>17</v>
      </c>
    </row>
    <row r="1069" customFormat="false" ht="15" hidden="false" customHeight="true" outlineLevel="0" collapsed="false">
      <c r="A1069" s="8" t="n">
        <v>67531</v>
      </c>
      <c r="B1069" s="2" t="s">
        <v>3</v>
      </c>
      <c r="C1069" s="2" t="s">
        <v>21</v>
      </c>
      <c r="G1069" s="9"/>
    </row>
    <row r="1070" customFormat="false" ht="15" hidden="false" customHeight="true" outlineLevel="0" collapsed="false">
      <c r="A1070" s="8" t="n">
        <v>67566</v>
      </c>
      <c r="B1070" s="2" t="s">
        <v>3</v>
      </c>
      <c r="C1070" s="2" t="s">
        <v>18</v>
      </c>
    </row>
    <row r="1071" customFormat="false" ht="15" hidden="false" customHeight="true" outlineLevel="0" collapsed="false">
      <c r="A1071" s="6" t="n">
        <v>67573</v>
      </c>
      <c r="B1071" s="7" t="s">
        <v>3</v>
      </c>
      <c r="C1071" s="7" t="s">
        <v>4</v>
      </c>
    </row>
    <row r="1072" customFormat="false" ht="15" hidden="false" customHeight="true" outlineLevel="0" collapsed="false">
      <c r="A1072" s="6" t="n">
        <v>67629</v>
      </c>
      <c r="B1072" s="7" t="s">
        <v>3</v>
      </c>
      <c r="C1072" s="7" t="s">
        <v>5</v>
      </c>
    </row>
    <row r="1073" customFormat="false" ht="15" hidden="false" customHeight="true" outlineLevel="0" collapsed="false">
      <c r="A1073" s="6" t="n">
        <v>67630</v>
      </c>
      <c r="B1073" s="7" t="s">
        <v>6</v>
      </c>
      <c r="C1073" s="7" t="s">
        <v>5</v>
      </c>
    </row>
    <row r="1074" customFormat="false" ht="15" hidden="false" customHeight="true" outlineLevel="0" collapsed="false">
      <c r="A1074" s="6" t="n">
        <v>67675</v>
      </c>
      <c r="B1074" s="7" t="s">
        <v>7</v>
      </c>
      <c r="C1074" s="7" t="s">
        <v>8</v>
      </c>
    </row>
    <row r="1075" customFormat="false" ht="15" hidden="false" customHeight="true" outlineLevel="0" collapsed="false">
      <c r="A1075" s="6" t="n">
        <v>67683</v>
      </c>
      <c r="B1075" s="7" t="s">
        <v>9</v>
      </c>
      <c r="C1075" s="7" t="s">
        <v>10</v>
      </c>
    </row>
    <row r="1076" customFormat="false" ht="15" hidden="false" customHeight="true" outlineLevel="0" collapsed="false">
      <c r="A1076" s="6" t="n">
        <v>67693</v>
      </c>
      <c r="B1076" s="7" t="s">
        <v>6</v>
      </c>
      <c r="C1076" s="7" t="s">
        <v>11</v>
      </c>
    </row>
    <row r="1077" customFormat="false" ht="15" hidden="false" customHeight="true" outlineLevel="0" collapsed="false">
      <c r="A1077" s="6" t="n">
        <v>67737</v>
      </c>
      <c r="B1077" s="7" t="s">
        <v>12</v>
      </c>
      <c r="C1077" s="7" t="s">
        <v>13</v>
      </c>
    </row>
    <row r="1078" customFormat="false" ht="15" hidden="false" customHeight="true" outlineLevel="0" collapsed="false">
      <c r="A1078" s="6" t="n">
        <v>67822</v>
      </c>
      <c r="B1078" s="7" t="s">
        <v>7</v>
      </c>
      <c r="C1078" s="7" t="s">
        <v>14</v>
      </c>
    </row>
    <row r="1079" customFormat="false" ht="15" hidden="false" customHeight="true" outlineLevel="0" collapsed="false">
      <c r="A1079" s="6" t="n">
        <v>67857</v>
      </c>
      <c r="B1079" s="7" t="s">
        <v>7</v>
      </c>
      <c r="C1079" s="7" t="s">
        <v>15</v>
      </c>
    </row>
    <row r="1080" customFormat="false" ht="15" hidden="false" customHeight="true" outlineLevel="0" collapsed="false">
      <c r="A1080" s="6" t="n">
        <v>67878</v>
      </c>
      <c r="B1080" s="7" t="s">
        <v>7</v>
      </c>
      <c r="C1080" s="7" t="s">
        <v>16</v>
      </c>
    </row>
    <row r="1081" customFormat="false" ht="15" hidden="false" customHeight="true" outlineLevel="0" collapsed="false">
      <c r="A1081" s="6" t="n">
        <v>67891</v>
      </c>
      <c r="B1081" s="7" t="s">
        <v>12</v>
      </c>
      <c r="C1081" s="7" t="s">
        <v>17</v>
      </c>
    </row>
    <row r="1082" customFormat="false" ht="15" hidden="false" customHeight="true" outlineLevel="0" collapsed="false">
      <c r="A1082" s="6" t="n">
        <v>67896</v>
      </c>
      <c r="B1082" s="7" t="s">
        <v>6</v>
      </c>
      <c r="C1082" s="7" t="s">
        <v>21</v>
      </c>
      <c r="G1082" s="9"/>
    </row>
    <row r="1083" customFormat="false" ht="15" hidden="false" customHeight="true" outlineLevel="0" collapsed="false">
      <c r="A1083" s="6" t="n">
        <v>67931</v>
      </c>
      <c r="B1083" s="7" t="s">
        <v>6</v>
      </c>
      <c r="C1083" s="7" t="s">
        <v>18</v>
      </c>
    </row>
    <row r="1084" customFormat="false" ht="15" hidden="false" customHeight="true" outlineLevel="0" collapsed="false">
      <c r="A1084" s="8" t="n">
        <v>67938</v>
      </c>
      <c r="B1084" s="2" t="s">
        <v>6</v>
      </c>
      <c r="C1084" s="2" t="s">
        <v>4</v>
      </c>
    </row>
    <row r="1085" customFormat="false" ht="15" hidden="false" customHeight="true" outlineLevel="0" collapsed="false">
      <c r="A1085" s="8" t="n">
        <v>67979</v>
      </c>
      <c r="B1085" s="2" t="s">
        <v>3</v>
      </c>
      <c r="C1085" s="2" t="s">
        <v>5</v>
      </c>
    </row>
    <row r="1086" customFormat="false" ht="15" hidden="false" customHeight="true" outlineLevel="0" collapsed="false">
      <c r="A1086" s="8" t="n">
        <v>67980</v>
      </c>
      <c r="B1086" s="2" t="s">
        <v>6</v>
      </c>
      <c r="C1086" s="2" t="s">
        <v>5</v>
      </c>
    </row>
    <row r="1087" customFormat="false" ht="15" hidden="false" customHeight="true" outlineLevel="0" collapsed="false">
      <c r="A1087" s="8" t="n">
        <v>68025</v>
      </c>
      <c r="B1087" s="2" t="s">
        <v>7</v>
      </c>
      <c r="C1087" s="2" t="s">
        <v>8</v>
      </c>
    </row>
    <row r="1088" customFormat="false" ht="15" hidden="false" customHeight="true" outlineLevel="0" collapsed="false">
      <c r="A1088" s="8" t="n">
        <v>68048</v>
      </c>
      <c r="B1088" s="2" t="s">
        <v>19</v>
      </c>
      <c r="C1088" s="2" t="s">
        <v>10</v>
      </c>
    </row>
    <row r="1089" customFormat="false" ht="15" hidden="false" customHeight="true" outlineLevel="0" collapsed="false">
      <c r="A1089" s="8" t="n">
        <v>68058</v>
      </c>
      <c r="B1089" s="2" t="s">
        <v>20</v>
      </c>
      <c r="C1089" s="2" t="s">
        <v>11</v>
      </c>
    </row>
    <row r="1090" customFormat="false" ht="15" hidden="false" customHeight="true" outlineLevel="0" collapsed="false">
      <c r="A1090" s="8" t="n">
        <v>68087</v>
      </c>
      <c r="B1090" s="2" t="s">
        <v>12</v>
      </c>
      <c r="C1090" s="2" t="s">
        <v>13</v>
      </c>
    </row>
    <row r="1091" customFormat="false" ht="15" hidden="false" customHeight="true" outlineLevel="0" collapsed="false">
      <c r="A1091" s="8" t="n">
        <v>68187</v>
      </c>
      <c r="B1091" s="2" t="s">
        <v>9</v>
      </c>
      <c r="C1091" s="2" t="s">
        <v>14</v>
      </c>
    </row>
    <row r="1092" customFormat="false" ht="15" hidden="false" customHeight="true" outlineLevel="0" collapsed="false">
      <c r="A1092" s="8" t="n">
        <v>68222</v>
      </c>
      <c r="B1092" s="2" t="s">
        <v>9</v>
      </c>
      <c r="C1092" s="2" t="s">
        <v>15</v>
      </c>
    </row>
    <row r="1093" customFormat="false" ht="15" hidden="false" customHeight="true" outlineLevel="0" collapsed="false">
      <c r="A1093" s="8" t="n">
        <v>68243</v>
      </c>
      <c r="B1093" s="2" t="s">
        <v>9</v>
      </c>
      <c r="C1093" s="2" t="s">
        <v>16</v>
      </c>
    </row>
    <row r="1094" customFormat="false" ht="15" hidden="false" customHeight="true" outlineLevel="0" collapsed="false">
      <c r="A1094" s="8" t="n">
        <v>68256</v>
      </c>
      <c r="B1094" s="2" t="s">
        <v>7</v>
      </c>
      <c r="C1094" s="2" t="s">
        <v>17</v>
      </c>
    </row>
    <row r="1095" customFormat="false" ht="15" hidden="false" customHeight="true" outlineLevel="0" collapsed="false">
      <c r="A1095" s="8" t="n">
        <v>68261</v>
      </c>
      <c r="B1095" s="2" t="s">
        <v>20</v>
      </c>
      <c r="C1095" s="2" t="s">
        <v>21</v>
      </c>
      <c r="G1095" s="9"/>
    </row>
    <row r="1096" customFormat="false" ht="15" hidden="false" customHeight="true" outlineLevel="0" collapsed="false">
      <c r="A1096" s="8" t="n">
        <v>68296</v>
      </c>
      <c r="B1096" s="2" t="s">
        <v>20</v>
      </c>
      <c r="C1096" s="2" t="s">
        <v>18</v>
      </c>
    </row>
    <row r="1097" customFormat="false" ht="15" hidden="false" customHeight="true" outlineLevel="0" collapsed="false">
      <c r="A1097" s="6" t="n">
        <v>68303</v>
      </c>
      <c r="B1097" s="7" t="s">
        <v>20</v>
      </c>
      <c r="C1097" s="7" t="s">
        <v>4</v>
      </c>
    </row>
    <row r="1098" customFormat="false" ht="15" hidden="false" customHeight="true" outlineLevel="0" collapsed="false">
      <c r="A1098" s="6" t="n">
        <v>68364</v>
      </c>
      <c r="B1098" s="7" t="s">
        <v>3</v>
      </c>
      <c r="C1098" s="7" t="s">
        <v>5</v>
      </c>
    </row>
    <row r="1099" customFormat="false" ht="15" hidden="false" customHeight="true" outlineLevel="0" collapsed="false">
      <c r="A1099" s="6" t="n">
        <v>68365</v>
      </c>
      <c r="B1099" s="7" t="s">
        <v>6</v>
      </c>
      <c r="C1099" s="7" t="s">
        <v>5</v>
      </c>
    </row>
    <row r="1100" customFormat="false" ht="15" hidden="false" customHeight="true" outlineLevel="0" collapsed="false">
      <c r="A1100" s="6" t="n">
        <v>68410</v>
      </c>
      <c r="B1100" s="7" t="s">
        <v>7</v>
      </c>
      <c r="C1100" s="7" t="s">
        <v>8</v>
      </c>
    </row>
    <row r="1101" customFormat="false" ht="15" hidden="false" customHeight="true" outlineLevel="0" collapsed="false">
      <c r="A1101" s="6" t="n">
        <v>68413</v>
      </c>
      <c r="B1101" s="7" t="s">
        <v>3</v>
      </c>
      <c r="C1101" s="7" t="s">
        <v>10</v>
      </c>
    </row>
    <row r="1102" customFormat="false" ht="15" hidden="false" customHeight="true" outlineLevel="0" collapsed="false">
      <c r="A1102" s="6" t="n">
        <v>68423</v>
      </c>
      <c r="B1102" s="7" t="s">
        <v>12</v>
      </c>
      <c r="C1102" s="7" t="s">
        <v>11</v>
      </c>
    </row>
    <row r="1103" customFormat="false" ht="15" hidden="false" customHeight="true" outlineLevel="0" collapsed="false">
      <c r="A1103" s="6" t="n">
        <v>68472</v>
      </c>
      <c r="B1103" s="7" t="s">
        <v>12</v>
      </c>
      <c r="C1103" s="7" t="s">
        <v>13</v>
      </c>
    </row>
    <row r="1104" customFormat="false" ht="15" hidden="false" customHeight="true" outlineLevel="0" collapsed="false">
      <c r="A1104" s="6" t="n">
        <v>68552</v>
      </c>
      <c r="B1104" s="7" t="s">
        <v>19</v>
      </c>
      <c r="C1104" s="7" t="s">
        <v>14</v>
      </c>
    </row>
    <row r="1105" customFormat="false" ht="15" hidden="false" customHeight="true" outlineLevel="0" collapsed="false">
      <c r="A1105" s="6" t="n">
        <v>68587</v>
      </c>
      <c r="B1105" s="7" t="s">
        <v>19</v>
      </c>
      <c r="C1105" s="7" t="s">
        <v>15</v>
      </c>
    </row>
    <row r="1106" customFormat="false" ht="15" hidden="false" customHeight="true" outlineLevel="0" collapsed="false">
      <c r="A1106" s="6" t="n">
        <v>68608</v>
      </c>
      <c r="B1106" s="7" t="s">
        <v>19</v>
      </c>
      <c r="C1106" s="7" t="s">
        <v>16</v>
      </c>
    </row>
    <row r="1107" customFormat="false" ht="15" hidden="false" customHeight="true" outlineLevel="0" collapsed="false">
      <c r="A1107" s="6" t="n">
        <v>68621</v>
      </c>
      <c r="B1107" s="7" t="s">
        <v>9</v>
      </c>
      <c r="C1107" s="7" t="s">
        <v>17</v>
      </c>
    </row>
    <row r="1108" customFormat="false" ht="15" hidden="false" customHeight="true" outlineLevel="0" collapsed="false">
      <c r="A1108" s="6" t="n">
        <v>68626</v>
      </c>
      <c r="B1108" s="7" t="s">
        <v>12</v>
      </c>
      <c r="C1108" s="7" t="s">
        <v>21</v>
      </c>
      <c r="G1108" s="9"/>
    </row>
    <row r="1109" customFormat="false" ht="15" hidden="false" customHeight="true" outlineLevel="0" collapsed="false">
      <c r="A1109" s="6" t="n">
        <v>68661</v>
      </c>
      <c r="B1109" s="7" t="s">
        <v>12</v>
      </c>
      <c r="C1109" s="7" t="s">
        <v>18</v>
      </c>
    </row>
    <row r="1110" customFormat="false" ht="15" hidden="false" customHeight="true" outlineLevel="0" collapsed="false">
      <c r="A1110" s="8" t="n">
        <v>68668</v>
      </c>
      <c r="B1110" s="2" t="s">
        <v>12</v>
      </c>
      <c r="C1110" s="2" t="s">
        <v>4</v>
      </c>
    </row>
    <row r="1111" customFormat="false" ht="15" hidden="false" customHeight="true" outlineLevel="0" collapsed="false">
      <c r="A1111" s="8" t="n">
        <v>68721</v>
      </c>
      <c r="B1111" s="2" t="s">
        <v>3</v>
      </c>
      <c r="C1111" s="2" t="s">
        <v>5</v>
      </c>
    </row>
    <row r="1112" customFormat="false" ht="15" hidden="false" customHeight="true" outlineLevel="0" collapsed="false">
      <c r="A1112" s="8" t="n">
        <v>68722</v>
      </c>
      <c r="B1112" s="2" t="s">
        <v>6</v>
      </c>
      <c r="C1112" s="2" t="s">
        <v>5</v>
      </c>
    </row>
    <row r="1113" customFormat="false" ht="15" hidden="false" customHeight="true" outlineLevel="0" collapsed="false">
      <c r="A1113" s="8" t="n">
        <v>68767</v>
      </c>
      <c r="B1113" s="2" t="s">
        <v>7</v>
      </c>
      <c r="C1113" s="2" t="s">
        <v>8</v>
      </c>
    </row>
    <row r="1114" customFormat="false" ht="15" hidden="false" customHeight="true" outlineLevel="0" collapsed="false">
      <c r="A1114" s="8" t="n">
        <v>68779</v>
      </c>
      <c r="B1114" s="2" t="s">
        <v>20</v>
      </c>
      <c r="C1114" s="2" t="s">
        <v>10</v>
      </c>
    </row>
    <row r="1115" customFormat="false" ht="15" hidden="false" customHeight="true" outlineLevel="0" collapsed="false">
      <c r="A1115" s="8" t="n">
        <v>68789</v>
      </c>
      <c r="B1115" s="2" t="s">
        <v>9</v>
      </c>
      <c r="C1115" s="2" t="s">
        <v>11</v>
      </c>
    </row>
    <row r="1116" customFormat="false" ht="15" hidden="false" customHeight="true" outlineLevel="0" collapsed="false">
      <c r="A1116" s="8" t="n">
        <v>68829</v>
      </c>
      <c r="B1116" s="2" t="s">
        <v>12</v>
      </c>
      <c r="C1116" s="2" t="s">
        <v>13</v>
      </c>
    </row>
    <row r="1117" customFormat="false" ht="15" hidden="false" customHeight="true" outlineLevel="0" collapsed="false">
      <c r="A1117" s="8" t="n">
        <v>68918</v>
      </c>
      <c r="B1117" s="2" t="s">
        <v>6</v>
      </c>
      <c r="C1117" s="2" t="s">
        <v>14</v>
      </c>
    </row>
    <row r="1118" customFormat="false" ht="15" hidden="false" customHeight="true" outlineLevel="0" collapsed="false">
      <c r="A1118" s="8" t="n">
        <v>68953</v>
      </c>
      <c r="B1118" s="2" t="s">
        <v>6</v>
      </c>
      <c r="C1118" s="2" t="s">
        <v>15</v>
      </c>
    </row>
    <row r="1119" customFormat="false" ht="15" hidden="false" customHeight="true" outlineLevel="0" collapsed="false">
      <c r="A1119" s="8" t="n">
        <v>68974</v>
      </c>
      <c r="B1119" s="2" t="s">
        <v>6</v>
      </c>
      <c r="C1119" s="2" t="s">
        <v>16</v>
      </c>
    </row>
    <row r="1120" customFormat="false" ht="15" hidden="false" customHeight="true" outlineLevel="0" collapsed="false">
      <c r="A1120" s="8" t="n">
        <v>68987</v>
      </c>
      <c r="B1120" s="2" t="s">
        <v>3</v>
      </c>
      <c r="C1120" s="2" t="s">
        <v>17</v>
      </c>
    </row>
    <row r="1121" customFormat="false" ht="15" hidden="false" customHeight="true" outlineLevel="0" collapsed="false">
      <c r="A1121" s="8" t="n">
        <v>68992</v>
      </c>
      <c r="B1121" s="2" t="s">
        <v>9</v>
      </c>
      <c r="C1121" s="2" t="s">
        <v>21</v>
      </c>
      <c r="G1121" s="9"/>
    </row>
    <row r="1122" customFormat="false" ht="15" hidden="false" customHeight="true" outlineLevel="0" collapsed="false">
      <c r="A1122" s="8" t="n">
        <v>69027</v>
      </c>
      <c r="B1122" s="2" t="s">
        <v>9</v>
      </c>
      <c r="C1122" s="2" t="s">
        <v>18</v>
      </c>
    </row>
    <row r="1123" customFormat="false" ht="15" hidden="false" customHeight="true" outlineLevel="0" collapsed="false">
      <c r="A1123" s="6" t="n">
        <v>69034</v>
      </c>
      <c r="B1123" s="7" t="s">
        <v>9</v>
      </c>
      <c r="C1123" s="7" t="s">
        <v>4</v>
      </c>
    </row>
    <row r="1124" customFormat="false" ht="15" hidden="false" customHeight="true" outlineLevel="0" collapsed="false">
      <c r="A1124" s="6" t="n">
        <v>69078</v>
      </c>
      <c r="B1124" s="7" t="s">
        <v>3</v>
      </c>
      <c r="C1124" s="7" t="s">
        <v>5</v>
      </c>
    </row>
    <row r="1125" customFormat="false" ht="15" hidden="false" customHeight="true" outlineLevel="0" collapsed="false">
      <c r="A1125" s="6" t="n">
        <v>69079</v>
      </c>
      <c r="B1125" s="7" t="s">
        <v>6</v>
      </c>
      <c r="C1125" s="7" t="s">
        <v>5</v>
      </c>
    </row>
    <row r="1126" customFormat="false" ht="15" hidden="false" customHeight="true" outlineLevel="0" collapsed="false">
      <c r="A1126" s="6" t="n">
        <v>69124</v>
      </c>
      <c r="B1126" s="7" t="s">
        <v>7</v>
      </c>
      <c r="C1126" s="7" t="s">
        <v>8</v>
      </c>
    </row>
    <row r="1127" customFormat="false" ht="15" hidden="false" customHeight="true" outlineLevel="0" collapsed="false">
      <c r="A1127" s="6" t="n">
        <v>69144</v>
      </c>
      <c r="B1127" s="7" t="s">
        <v>12</v>
      </c>
      <c r="C1127" s="7" t="s">
        <v>10</v>
      </c>
    </row>
    <row r="1128" customFormat="false" ht="15" hidden="false" customHeight="true" outlineLevel="0" collapsed="false">
      <c r="A1128" s="6" t="n">
        <v>69154</v>
      </c>
      <c r="B1128" s="7" t="s">
        <v>19</v>
      </c>
      <c r="C1128" s="7" t="s">
        <v>11</v>
      </c>
    </row>
    <row r="1129" customFormat="false" ht="15" hidden="false" customHeight="true" outlineLevel="0" collapsed="false">
      <c r="A1129" s="6" t="n">
        <v>69186</v>
      </c>
      <c r="B1129" s="7" t="s">
        <v>12</v>
      </c>
      <c r="C1129" s="7" t="s">
        <v>13</v>
      </c>
    </row>
    <row r="1130" customFormat="false" ht="15" hidden="false" customHeight="true" outlineLevel="0" collapsed="false">
      <c r="A1130" s="6" t="n">
        <v>69283</v>
      </c>
      <c r="B1130" s="7" t="s">
        <v>20</v>
      </c>
      <c r="C1130" s="7" t="s">
        <v>14</v>
      </c>
    </row>
    <row r="1131" customFormat="false" ht="15" hidden="false" customHeight="true" outlineLevel="0" collapsed="false">
      <c r="A1131" s="6" t="n">
        <v>69318</v>
      </c>
      <c r="B1131" s="7" t="s">
        <v>20</v>
      </c>
      <c r="C1131" s="7" t="s">
        <v>15</v>
      </c>
    </row>
    <row r="1132" customFormat="false" ht="15" hidden="false" customHeight="true" outlineLevel="0" collapsed="false">
      <c r="A1132" s="6" t="n">
        <v>69339</v>
      </c>
      <c r="B1132" s="7" t="s">
        <v>20</v>
      </c>
      <c r="C1132" s="7" t="s">
        <v>16</v>
      </c>
    </row>
    <row r="1133" customFormat="false" ht="15" hidden="false" customHeight="true" outlineLevel="0" collapsed="false">
      <c r="A1133" s="6" t="n">
        <v>69352</v>
      </c>
      <c r="B1133" s="7" t="s">
        <v>6</v>
      </c>
      <c r="C1133" s="7" t="s">
        <v>17</v>
      </c>
    </row>
    <row r="1134" customFormat="false" ht="15" hidden="false" customHeight="true" outlineLevel="0" collapsed="false">
      <c r="A1134" s="6" t="n">
        <v>69357</v>
      </c>
      <c r="B1134" s="7" t="s">
        <v>19</v>
      </c>
      <c r="C1134" s="7" t="s">
        <v>21</v>
      </c>
      <c r="G1134" s="9"/>
    </row>
    <row r="1135" customFormat="false" ht="15" hidden="false" customHeight="true" outlineLevel="0" collapsed="false">
      <c r="A1135" s="6" t="n">
        <v>69392</v>
      </c>
      <c r="B1135" s="7" t="s">
        <v>19</v>
      </c>
      <c r="C1135" s="7" t="s">
        <v>18</v>
      </c>
    </row>
    <row r="1136" customFormat="false" ht="15" hidden="false" customHeight="true" outlineLevel="0" collapsed="false">
      <c r="A1136" s="8" t="n">
        <v>69399</v>
      </c>
      <c r="B1136" s="2" t="s">
        <v>19</v>
      </c>
      <c r="C1136" s="2" t="s">
        <v>4</v>
      </c>
    </row>
    <row r="1137" customFormat="false" ht="15" hidden="false" customHeight="true" outlineLevel="0" collapsed="false">
      <c r="A1137" s="8" t="n">
        <v>69456</v>
      </c>
      <c r="B1137" s="2" t="s">
        <v>3</v>
      </c>
      <c r="C1137" s="2" t="s">
        <v>5</v>
      </c>
    </row>
    <row r="1138" customFormat="false" ht="15" hidden="false" customHeight="true" outlineLevel="0" collapsed="false">
      <c r="A1138" s="8" t="n">
        <v>69457</v>
      </c>
      <c r="B1138" s="2" t="s">
        <v>6</v>
      </c>
      <c r="C1138" s="2" t="s">
        <v>5</v>
      </c>
    </row>
    <row r="1139" customFormat="false" ht="15" hidden="false" customHeight="true" outlineLevel="0" collapsed="false">
      <c r="A1139" s="8" t="n">
        <v>69502</v>
      </c>
      <c r="B1139" s="2" t="s">
        <v>7</v>
      </c>
      <c r="C1139" s="2" t="s">
        <v>8</v>
      </c>
    </row>
    <row r="1140" customFormat="false" ht="15" hidden="false" customHeight="true" outlineLevel="0" collapsed="false">
      <c r="A1140" s="8" t="n">
        <v>69509</v>
      </c>
      <c r="B1140" s="2" t="s">
        <v>7</v>
      </c>
      <c r="C1140" s="2" t="s">
        <v>10</v>
      </c>
    </row>
    <row r="1141" customFormat="false" ht="15" hidden="false" customHeight="true" outlineLevel="0" collapsed="false">
      <c r="A1141" s="8" t="n">
        <v>69519</v>
      </c>
      <c r="B1141" s="2" t="s">
        <v>3</v>
      </c>
      <c r="C1141" s="2" t="s">
        <v>11</v>
      </c>
    </row>
    <row r="1142" customFormat="false" ht="15" hidden="false" customHeight="true" outlineLevel="0" collapsed="false">
      <c r="A1142" s="8" t="n">
        <v>69564</v>
      </c>
      <c r="B1142" s="2" t="s">
        <v>12</v>
      </c>
      <c r="C1142" s="2" t="s">
        <v>13</v>
      </c>
    </row>
    <row r="1143" customFormat="false" ht="15" hidden="false" customHeight="true" outlineLevel="0" collapsed="false">
      <c r="A1143" s="8" t="n">
        <v>69648</v>
      </c>
      <c r="B1143" s="2" t="s">
        <v>12</v>
      </c>
      <c r="C1143" s="2" t="s">
        <v>14</v>
      </c>
    </row>
    <row r="1144" customFormat="false" ht="15" hidden="false" customHeight="true" outlineLevel="0" collapsed="false">
      <c r="A1144" s="8" t="n">
        <v>69683</v>
      </c>
      <c r="B1144" s="2" t="s">
        <v>12</v>
      </c>
      <c r="C1144" s="2" t="s">
        <v>15</v>
      </c>
    </row>
    <row r="1145" customFormat="false" ht="15" hidden="false" customHeight="true" outlineLevel="0" collapsed="false">
      <c r="A1145" s="8" t="n">
        <v>69704</v>
      </c>
      <c r="B1145" s="2" t="s">
        <v>12</v>
      </c>
      <c r="C1145" s="2" t="s">
        <v>16</v>
      </c>
    </row>
    <row r="1146" customFormat="false" ht="15" hidden="false" customHeight="true" outlineLevel="0" collapsed="false">
      <c r="A1146" s="8" t="n">
        <v>69717</v>
      </c>
      <c r="B1146" s="2" t="s">
        <v>20</v>
      </c>
      <c r="C1146" s="2" t="s">
        <v>17</v>
      </c>
    </row>
    <row r="1147" customFormat="false" ht="15" hidden="false" customHeight="true" outlineLevel="0" collapsed="false">
      <c r="A1147" s="8" t="n">
        <v>69722</v>
      </c>
      <c r="B1147" s="2" t="s">
        <v>3</v>
      </c>
      <c r="C1147" s="2" t="s">
        <v>21</v>
      </c>
      <c r="G1147" s="9"/>
    </row>
    <row r="1148" customFormat="false" ht="15" hidden="false" customHeight="true" outlineLevel="0" collapsed="false">
      <c r="A1148" s="8" t="n">
        <v>69757</v>
      </c>
      <c r="B1148" s="2" t="s">
        <v>3</v>
      </c>
      <c r="C1148" s="2" t="s">
        <v>18</v>
      </c>
    </row>
    <row r="1149" customFormat="false" ht="15" hidden="false" customHeight="true" outlineLevel="0" collapsed="false">
      <c r="A1149" s="6" t="n">
        <v>69764</v>
      </c>
      <c r="B1149" s="7" t="s">
        <v>3</v>
      </c>
      <c r="C1149" s="7" t="s">
        <v>4</v>
      </c>
    </row>
    <row r="1150" customFormat="false" ht="15" hidden="false" customHeight="true" outlineLevel="0" collapsed="false">
      <c r="A1150" s="6" t="n">
        <v>69813</v>
      </c>
      <c r="B1150" s="7" t="s">
        <v>3</v>
      </c>
      <c r="C1150" s="7" t="s">
        <v>5</v>
      </c>
    </row>
    <row r="1151" customFormat="false" ht="15" hidden="false" customHeight="true" outlineLevel="0" collapsed="false">
      <c r="A1151" s="6" t="n">
        <v>69814</v>
      </c>
      <c r="B1151" s="7" t="s">
        <v>6</v>
      </c>
      <c r="C1151" s="7" t="s">
        <v>5</v>
      </c>
    </row>
    <row r="1152" customFormat="false" ht="15" hidden="false" customHeight="true" outlineLevel="0" collapsed="false">
      <c r="A1152" s="6" t="n">
        <v>69859</v>
      </c>
      <c r="B1152" s="7" t="s">
        <v>7</v>
      </c>
      <c r="C1152" s="7" t="s">
        <v>8</v>
      </c>
    </row>
    <row r="1153" customFormat="false" ht="15" hidden="false" customHeight="true" outlineLevel="0" collapsed="false">
      <c r="A1153" s="6" t="n">
        <v>69874</v>
      </c>
      <c r="B1153" s="7" t="s">
        <v>9</v>
      </c>
      <c r="C1153" s="7" t="s">
        <v>10</v>
      </c>
    </row>
    <row r="1154" customFormat="false" ht="15" hidden="false" customHeight="true" outlineLevel="0" collapsed="false">
      <c r="A1154" s="6" t="n">
        <v>69884</v>
      </c>
      <c r="B1154" s="7" t="s">
        <v>6</v>
      </c>
      <c r="C1154" s="7" t="s">
        <v>11</v>
      </c>
    </row>
    <row r="1155" customFormat="false" ht="15" hidden="false" customHeight="true" outlineLevel="0" collapsed="false">
      <c r="A1155" s="6" t="n">
        <v>69921</v>
      </c>
      <c r="B1155" s="7" t="s">
        <v>12</v>
      </c>
      <c r="C1155" s="7" t="s">
        <v>13</v>
      </c>
    </row>
    <row r="1156" customFormat="false" ht="15" hidden="false" customHeight="true" outlineLevel="0" collapsed="false">
      <c r="A1156" s="6" t="n">
        <v>70013</v>
      </c>
      <c r="B1156" s="7" t="s">
        <v>7</v>
      </c>
      <c r="C1156" s="7" t="s">
        <v>14</v>
      </c>
    </row>
    <row r="1157" customFormat="false" ht="15" hidden="false" customHeight="true" outlineLevel="0" collapsed="false">
      <c r="A1157" s="6" t="n">
        <v>70048</v>
      </c>
      <c r="B1157" s="7" t="s">
        <v>7</v>
      </c>
      <c r="C1157" s="7" t="s">
        <v>15</v>
      </c>
    </row>
    <row r="1158" customFormat="false" ht="15" hidden="false" customHeight="true" outlineLevel="0" collapsed="false">
      <c r="A1158" s="6" t="n">
        <v>70069</v>
      </c>
      <c r="B1158" s="7" t="s">
        <v>7</v>
      </c>
      <c r="C1158" s="7" t="s">
        <v>16</v>
      </c>
    </row>
    <row r="1159" customFormat="false" ht="15" hidden="false" customHeight="true" outlineLevel="0" collapsed="false">
      <c r="A1159" s="6" t="n">
        <v>70082</v>
      </c>
      <c r="B1159" s="7" t="s">
        <v>12</v>
      </c>
      <c r="C1159" s="7" t="s">
        <v>17</v>
      </c>
    </row>
    <row r="1160" customFormat="false" ht="15" hidden="false" customHeight="true" outlineLevel="0" collapsed="false">
      <c r="A1160" s="6" t="n">
        <v>70087</v>
      </c>
      <c r="B1160" s="7" t="s">
        <v>6</v>
      </c>
      <c r="C1160" s="7" t="s">
        <v>21</v>
      </c>
      <c r="G1160" s="9"/>
    </row>
    <row r="1161" customFormat="false" ht="15" hidden="false" customHeight="true" outlineLevel="0" collapsed="false">
      <c r="A1161" s="6" t="n">
        <v>70122</v>
      </c>
      <c r="B1161" s="7" t="s">
        <v>6</v>
      </c>
      <c r="C1161" s="7" t="s">
        <v>18</v>
      </c>
    </row>
    <row r="1162" customFormat="false" ht="15" hidden="false" customHeight="true" outlineLevel="0" collapsed="false">
      <c r="A1162" s="8" t="n">
        <v>70129</v>
      </c>
      <c r="B1162" s="2" t="s">
        <v>6</v>
      </c>
      <c r="C1162" s="2" t="s">
        <v>4</v>
      </c>
    </row>
    <row r="1163" customFormat="false" ht="15" hidden="false" customHeight="true" outlineLevel="0" collapsed="false">
      <c r="A1163" s="8" t="n">
        <v>70170</v>
      </c>
      <c r="B1163" s="2" t="s">
        <v>3</v>
      </c>
      <c r="C1163" s="2" t="s">
        <v>5</v>
      </c>
    </row>
    <row r="1164" customFormat="false" ht="15" hidden="false" customHeight="true" outlineLevel="0" collapsed="false">
      <c r="A1164" s="8" t="n">
        <v>70171</v>
      </c>
      <c r="B1164" s="2" t="s">
        <v>6</v>
      </c>
      <c r="C1164" s="2" t="s">
        <v>5</v>
      </c>
    </row>
    <row r="1165" customFormat="false" ht="15" hidden="false" customHeight="true" outlineLevel="0" collapsed="false">
      <c r="A1165" s="8" t="n">
        <v>70216</v>
      </c>
      <c r="B1165" s="2" t="s">
        <v>7</v>
      </c>
      <c r="C1165" s="2" t="s">
        <v>8</v>
      </c>
    </row>
    <row r="1166" customFormat="false" ht="15" hidden="false" customHeight="true" outlineLevel="0" collapsed="false">
      <c r="A1166" s="8" t="n">
        <v>70240</v>
      </c>
      <c r="B1166" s="2" t="s">
        <v>3</v>
      </c>
      <c r="C1166" s="2" t="s">
        <v>10</v>
      </c>
    </row>
    <row r="1167" customFormat="false" ht="15" hidden="false" customHeight="true" outlineLevel="0" collapsed="false">
      <c r="A1167" s="8" t="n">
        <v>70250</v>
      </c>
      <c r="B1167" s="2" t="s">
        <v>12</v>
      </c>
      <c r="C1167" s="2" t="s">
        <v>11</v>
      </c>
    </row>
    <row r="1168" customFormat="false" ht="15" hidden="false" customHeight="true" outlineLevel="0" collapsed="false">
      <c r="A1168" s="8" t="n">
        <v>70278</v>
      </c>
      <c r="B1168" s="2" t="s">
        <v>12</v>
      </c>
      <c r="C1168" s="2" t="s">
        <v>13</v>
      </c>
    </row>
    <row r="1169" customFormat="false" ht="15" hidden="false" customHeight="true" outlineLevel="0" collapsed="false">
      <c r="A1169" s="8" t="n">
        <v>70379</v>
      </c>
      <c r="B1169" s="2" t="s">
        <v>19</v>
      </c>
      <c r="C1169" s="2" t="s">
        <v>14</v>
      </c>
    </row>
    <row r="1170" customFormat="false" ht="15" hidden="false" customHeight="true" outlineLevel="0" collapsed="false">
      <c r="A1170" s="8" t="n">
        <v>70414</v>
      </c>
      <c r="B1170" s="2" t="s">
        <v>19</v>
      </c>
      <c r="C1170" s="2" t="s">
        <v>15</v>
      </c>
    </row>
    <row r="1171" customFormat="false" ht="15" hidden="false" customHeight="true" outlineLevel="0" collapsed="false">
      <c r="A1171" s="8" t="n">
        <v>70435</v>
      </c>
      <c r="B1171" s="2" t="s">
        <v>19</v>
      </c>
      <c r="C1171" s="2" t="s">
        <v>16</v>
      </c>
    </row>
    <row r="1172" customFormat="false" ht="15" hidden="false" customHeight="true" outlineLevel="0" collapsed="false">
      <c r="A1172" s="8" t="n">
        <v>70448</v>
      </c>
      <c r="B1172" s="2" t="s">
        <v>9</v>
      </c>
      <c r="C1172" s="2" t="s">
        <v>17</v>
      </c>
    </row>
    <row r="1173" customFormat="false" ht="15" hidden="false" customHeight="true" outlineLevel="0" collapsed="false">
      <c r="A1173" s="8" t="n">
        <v>70453</v>
      </c>
      <c r="B1173" s="2" t="s">
        <v>12</v>
      </c>
      <c r="C1173" s="2" t="s">
        <v>21</v>
      </c>
      <c r="G1173" s="9"/>
    </row>
    <row r="1174" customFormat="false" ht="15" hidden="false" customHeight="true" outlineLevel="0" collapsed="false">
      <c r="A1174" s="8" t="n">
        <v>70488</v>
      </c>
      <c r="B1174" s="2" t="s">
        <v>12</v>
      </c>
      <c r="C1174" s="2" t="s">
        <v>18</v>
      </c>
    </row>
    <row r="1175" customFormat="false" ht="15" hidden="false" customHeight="true" outlineLevel="0" collapsed="false">
      <c r="A1175" s="6" t="n">
        <v>70495</v>
      </c>
      <c r="B1175" s="7" t="s">
        <v>12</v>
      </c>
      <c r="C1175" s="7" t="s">
        <v>4</v>
      </c>
    </row>
    <row r="1176" customFormat="false" ht="15" hidden="false" customHeight="true" outlineLevel="0" collapsed="false">
      <c r="A1176" s="6" t="n">
        <v>70548</v>
      </c>
      <c r="B1176" s="7" t="s">
        <v>3</v>
      </c>
      <c r="C1176" s="7" t="s">
        <v>5</v>
      </c>
    </row>
    <row r="1177" customFormat="false" ht="15" hidden="false" customHeight="true" outlineLevel="0" collapsed="false">
      <c r="A1177" s="6" t="n">
        <v>70549</v>
      </c>
      <c r="B1177" s="7" t="s">
        <v>6</v>
      </c>
      <c r="C1177" s="7" t="s">
        <v>5</v>
      </c>
    </row>
    <row r="1178" customFormat="false" ht="15" hidden="false" customHeight="true" outlineLevel="0" collapsed="false">
      <c r="A1178" s="6" t="n">
        <v>70594</v>
      </c>
      <c r="B1178" s="7" t="s">
        <v>7</v>
      </c>
      <c r="C1178" s="7" t="s">
        <v>8</v>
      </c>
    </row>
    <row r="1179" customFormat="false" ht="15" hidden="false" customHeight="true" outlineLevel="0" collapsed="false">
      <c r="A1179" s="6" t="n">
        <v>70605</v>
      </c>
      <c r="B1179" s="7" t="s">
        <v>6</v>
      </c>
      <c r="C1179" s="7" t="s">
        <v>10</v>
      </c>
    </row>
    <row r="1180" customFormat="false" ht="15" hidden="false" customHeight="true" outlineLevel="0" collapsed="false">
      <c r="A1180" s="6" t="n">
        <v>70615</v>
      </c>
      <c r="B1180" s="7" t="s">
        <v>7</v>
      </c>
      <c r="C1180" s="7" t="s">
        <v>11</v>
      </c>
    </row>
    <row r="1181" customFormat="false" ht="15" hidden="false" customHeight="true" outlineLevel="0" collapsed="false">
      <c r="A1181" s="6" t="n">
        <v>70656</v>
      </c>
      <c r="B1181" s="7" t="s">
        <v>12</v>
      </c>
      <c r="C1181" s="7" t="s">
        <v>13</v>
      </c>
    </row>
    <row r="1182" customFormat="false" ht="15" hidden="false" customHeight="true" outlineLevel="0" collapsed="false">
      <c r="A1182" s="6" t="n">
        <v>70744</v>
      </c>
      <c r="B1182" s="7" t="s">
        <v>3</v>
      </c>
      <c r="C1182" s="7" t="s">
        <v>14</v>
      </c>
    </row>
    <row r="1183" customFormat="false" ht="15" hidden="false" customHeight="true" outlineLevel="0" collapsed="false">
      <c r="A1183" s="6" t="n">
        <v>70779</v>
      </c>
      <c r="B1183" s="7" t="s">
        <v>3</v>
      </c>
      <c r="C1183" s="7" t="s">
        <v>15</v>
      </c>
    </row>
    <row r="1184" customFormat="false" ht="15" hidden="false" customHeight="true" outlineLevel="0" collapsed="false">
      <c r="A1184" s="6" t="n">
        <v>70800</v>
      </c>
      <c r="B1184" s="7" t="s">
        <v>3</v>
      </c>
      <c r="C1184" s="7" t="s">
        <v>16</v>
      </c>
    </row>
    <row r="1185" customFormat="false" ht="15" hidden="false" customHeight="true" outlineLevel="0" collapsed="false">
      <c r="A1185" s="6" t="n">
        <v>70813</v>
      </c>
      <c r="B1185" s="7" t="s">
        <v>19</v>
      </c>
      <c r="C1185" s="7" t="s">
        <v>17</v>
      </c>
    </row>
    <row r="1186" customFormat="false" ht="15" hidden="false" customHeight="true" outlineLevel="0" collapsed="false">
      <c r="A1186" s="6" t="n">
        <v>70818</v>
      </c>
      <c r="B1186" s="7" t="s">
        <v>7</v>
      </c>
      <c r="C1186" s="7" t="s">
        <v>21</v>
      </c>
      <c r="G1186" s="9"/>
    </row>
    <row r="1187" customFormat="false" ht="15" hidden="false" customHeight="true" outlineLevel="0" collapsed="false">
      <c r="A1187" s="6" t="n">
        <v>70853</v>
      </c>
      <c r="B1187" s="7" t="s">
        <v>7</v>
      </c>
      <c r="C1187" s="7" t="s">
        <v>18</v>
      </c>
    </row>
    <row r="1188" customFormat="false" ht="15" hidden="false" customHeight="true" outlineLevel="0" collapsed="false">
      <c r="A1188" s="8" t="n">
        <v>70860</v>
      </c>
      <c r="B1188" s="2" t="s">
        <v>7</v>
      </c>
      <c r="C1188" s="2" t="s">
        <v>4</v>
      </c>
    </row>
    <row r="1189" customFormat="false" ht="15" hidden="false" customHeight="true" outlineLevel="0" collapsed="false">
      <c r="A1189" s="8" t="n">
        <v>70905</v>
      </c>
      <c r="B1189" s="2" t="s">
        <v>3</v>
      </c>
      <c r="C1189" s="2" t="s">
        <v>5</v>
      </c>
    </row>
    <row r="1190" customFormat="false" ht="15" hidden="false" customHeight="true" outlineLevel="0" collapsed="false">
      <c r="A1190" s="8" t="n">
        <v>70906</v>
      </c>
      <c r="B1190" s="2" t="s">
        <v>6</v>
      </c>
      <c r="C1190" s="2" t="s">
        <v>5</v>
      </c>
    </row>
    <row r="1191" customFormat="false" ht="15" hidden="false" customHeight="true" outlineLevel="0" collapsed="false">
      <c r="A1191" s="8" t="n">
        <v>70951</v>
      </c>
      <c r="B1191" s="2" t="s">
        <v>7</v>
      </c>
      <c r="C1191" s="2" t="s">
        <v>8</v>
      </c>
    </row>
    <row r="1192" customFormat="false" ht="15" hidden="false" customHeight="true" outlineLevel="0" collapsed="false">
      <c r="A1192" s="8" t="n">
        <v>70970</v>
      </c>
      <c r="B1192" s="2" t="s">
        <v>20</v>
      </c>
      <c r="C1192" s="2" t="s">
        <v>10</v>
      </c>
    </row>
    <row r="1193" customFormat="false" ht="15" hidden="false" customHeight="true" outlineLevel="0" collapsed="false">
      <c r="A1193" s="8" t="n">
        <v>70980</v>
      </c>
      <c r="B1193" s="2" t="s">
        <v>9</v>
      </c>
      <c r="C1193" s="2" t="s">
        <v>11</v>
      </c>
    </row>
    <row r="1194" customFormat="false" ht="15" hidden="false" customHeight="true" outlineLevel="0" collapsed="false">
      <c r="A1194" s="8" t="n">
        <v>71013</v>
      </c>
      <c r="B1194" s="2" t="s">
        <v>12</v>
      </c>
      <c r="C1194" s="2" t="s">
        <v>13</v>
      </c>
    </row>
    <row r="1195" customFormat="false" ht="15" hidden="false" customHeight="true" outlineLevel="0" collapsed="false">
      <c r="A1195" s="8" t="n">
        <v>71109</v>
      </c>
      <c r="B1195" s="2" t="s">
        <v>6</v>
      </c>
      <c r="C1195" s="2" t="s">
        <v>14</v>
      </c>
    </row>
    <row r="1196" customFormat="false" ht="15" hidden="false" customHeight="true" outlineLevel="0" collapsed="false">
      <c r="A1196" s="8" t="n">
        <v>71144</v>
      </c>
      <c r="B1196" s="2" t="s">
        <v>6</v>
      </c>
      <c r="C1196" s="2" t="s">
        <v>15</v>
      </c>
    </row>
    <row r="1197" customFormat="false" ht="15" hidden="false" customHeight="true" outlineLevel="0" collapsed="false">
      <c r="A1197" s="8" t="n">
        <v>71165</v>
      </c>
      <c r="B1197" s="2" t="s">
        <v>6</v>
      </c>
      <c r="C1197" s="2" t="s">
        <v>16</v>
      </c>
    </row>
    <row r="1198" customFormat="false" ht="15" hidden="false" customHeight="true" outlineLevel="0" collapsed="false">
      <c r="A1198" s="8" t="n">
        <v>71178</v>
      </c>
      <c r="B1198" s="2" t="s">
        <v>3</v>
      </c>
      <c r="C1198" s="2" t="s">
        <v>17</v>
      </c>
    </row>
    <row r="1199" customFormat="false" ht="15" hidden="false" customHeight="true" outlineLevel="0" collapsed="false">
      <c r="A1199" s="8" t="n">
        <v>71183</v>
      </c>
      <c r="B1199" s="2" t="s">
        <v>9</v>
      </c>
      <c r="C1199" s="2" t="s">
        <v>21</v>
      </c>
      <c r="G1199" s="9"/>
    </row>
    <row r="1200" customFormat="false" ht="15" hidden="false" customHeight="true" outlineLevel="0" collapsed="false">
      <c r="A1200" s="8" t="n">
        <v>71218</v>
      </c>
      <c r="B1200" s="2" t="s">
        <v>9</v>
      </c>
      <c r="C1200" s="2" t="s">
        <v>18</v>
      </c>
    </row>
    <row r="1201" customFormat="false" ht="15" hidden="false" customHeight="true" outlineLevel="0" collapsed="false">
      <c r="A1201" s="6" t="n">
        <v>71225</v>
      </c>
      <c r="B1201" s="7" t="s">
        <v>9</v>
      </c>
      <c r="C1201" s="7" t="s">
        <v>4</v>
      </c>
    </row>
    <row r="1202" customFormat="false" ht="15" hidden="false" customHeight="true" outlineLevel="0" collapsed="false">
      <c r="A1202" s="6" t="n">
        <v>71290</v>
      </c>
      <c r="B1202" s="7" t="s">
        <v>3</v>
      </c>
      <c r="C1202" s="7" t="s">
        <v>5</v>
      </c>
    </row>
    <row r="1203" customFormat="false" ht="15" hidden="false" customHeight="true" outlineLevel="0" collapsed="false">
      <c r="A1203" s="6" t="n">
        <v>71291</v>
      </c>
      <c r="B1203" s="7" t="s">
        <v>6</v>
      </c>
      <c r="C1203" s="7" t="s">
        <v>5</v>
      </c>
    </row>
    <row r="1204" customFormat="false" ht="15" hidden="false" customHeight="true" outlineLevel="0" collapsed="false">
      <c r="A1204" s="6" t="n">
        <v>71335</v>
      </c>
      <c r="B1204" s="7" t="s">
        <v>12</v>
      </c>
      <c r="C1204" s="7" t="s">
        <v>10</v>
      </c>
    </row>
    <row r="1205" customFormat="false" ht="15" hidden="false" customHeight="true" outlineLevel="0" collapsed="false">
      <c r="A1205" s="6" t="n">
        <v>71336</v>
      </c>
      <c r="B1205" s="7" t="s">
        <v>7</v>
      </c>
      <c r="C1205" s="7" t="s">
        <v>8</v>
      </c>
    </row>
    <row r="1206" customFormat="false" ht="15" hidden="false" customHeight="true" outlineLevel="0" collapsed="false">
      <c r="A1206" s="6" t="n">
        <v>71345</v>
      </c>
      <c r="B1206" s="7" t="s">
        <v>19</v>
      </c>
      <c r="C1206" s="7" t="s">
        <v>11</v>
      </c>
    </row>
    <row r="1207" customFormat="false" ht="15" hidden="false" customHeight="true" outlineLevel="0" collapsed="false">
      <c r="A1207" s="6" t="n">
        <v>71398</v>
      </c>
      <c r="B1207" s="7" t="s">
        <v>12</v>
      </c>
      <c r="C1207" s="7" t="s">
        <v>13</v>
      </c>
    </row>
    <row r="1208" customFormat="false" ht="15" hidden="false" customHeight="true" outlineLevel="0" collapsed="false">
      <c r="A1208" s="6" t="n">
        <v>71474</v>
      </c>
      <c r="B1208" s="7" t="s">
        <v>20</v>
      </c>
      <c r="C1208" s="7" t="s">
        <v>14</v>
      </c>
    </row>
    <row r="1209" customFormat="false" ht="15" hidden="false" customHeight="true" outlineLevel="0" collapsed="false">
      <c r="A1209" s="6" t="n">
        <v>71509</v>
      </c>
      <c r="B1209" s="7" t="s">
        <v>20</v>
      </c>
      <c r="C1209" s="7" t="s">
        <v>15</v>
      </c>
    </row>
    <row r="1210" customFormat="false" ht="15" hidden="false" customHeight="true" outlineLevel="0" collapsed="false">
      <c r="A1210" s="6" t="n">
        <v>71530</v>
      </c>
      <c r="B1210" s="7" t="s">
        <v>20</v>
      </c>
      <c r="C1210" s="7" t="s">
        <v>16</v>
      </c>
    </row>
    <row r="1211" customFormat="false" ht="15" hidden="false" customHeight="true" outlineLevel="0" collapsed="false">
      <c r="A1211" s="6" t="n">
        <v>71543</v>
      </c>
      <c r="B1211" s="7" t="s">
        <v>6</v>
      </c>
      <c r="C1211" s="7" t="s">
        <v>17</v>
      </c>
    </row>
    <row r="1212" customFormat="false" ht="15" hidden="false" customHeight="true" outlineLevel="0" collapsed="false">
      <c r="A1212" s="6" t="n">
        <v>71548</v>
      </c>
      <c r="B1212" s="7" t="s">
        <v>19</v>
      </c>
      <c r="C1212" s="7" t="s">
        <v>21</v>
      </c>
      <c r="G1212" s="9"/>
    </row>
    <row r="1213" customFormat="false" ht="15" hidden="false" customHeight="true" outlineLevel="0" collapsed="false">
      <c r="A1213" s="6" t="n">
        <v>71583</v>
      </c>
      <c r="B1213" s="7" t="s">
        <v>19</v>
      </c>
      <c r="C1213" s="7" t="s">
        <v>18</v>
      </c>
    </row>
    <row r="1214" customFormat="false" ht="15" hidden="false" customHeight="true" outlineLevel="0" collapsed="false">
      <c r="A1214" s="8" t="n">
        <v>71590</v>
      </c>
      <c r="B1214" s="2" t="s">
        <v>19</v>
      </c>
      <c r="C1214" s="2" t="s">
        <v>4</v>
      </c>
    </row>
    <row r="1215" customFormat="false" ht="15" hidden="false" customHeight="true" outlineLevel="0" collapsed="false">
      <c r="A1215" s="8" t="n">
        <v>71647</v>
      </c>
      <c r="B1215" s="2" t="s">
        <v>3</v>
      </c>
      <c r="C1215" s="2" t="s">
        <v>5</v>
      </c>
    </row>
    <row r="1216" customFormat="false" ht="15" hidden="false" customHeight="true" outlineLevel="0" collapsed="false">
      <c r="A1216" s="8" t="n">
        <v>71648</v>
      </c>
      <c r="B1216" s="2" t="s">
        <v>6</v>
      </c>
      <c r="C1216" s="2" t="s">
        <v>5</v>
      </c>
    </row>
    <row r="1217" customFormat="false" ht="15" hidden="false" customHeight="true" outlineLevel="0" collapsed="false">
      <c r="A1217" s="8" t="n">
        <v>71693</v>
      </c>
      <c r="B1217" s="2" t="s">
        <v>7</v>
      </c>
      <c r="C1217" s="2" t="s">
        <v>8</v>
      </c>
    </row>
    <row r="1218" customFormat="false" ht="15" hidden="false" customHeight="true" outlineLevel="0" collapsed="false">
      <c r="A1218" s="8" t="n">
        <v>71701</v>
      </c>
      <c r="B1218" s="2" t="s">
        <v>9</v>
      </c>
      <c r="C1218" s="2" t="s">
        <v>10</v>
      </c>
    </row>
    <row r="1219" customFormat="false" ht="15" hidden="false" customHeight="true" outlineLevel="0" collapsed="false">
      <c r="A1219" s="8" t="n">
        <v>71711</v>
      </c>
      <c r="B1219" s="2" t="s">
        <v>6</v>
      </c>
      <c r="C1219" s="2" t="s">
        <v>11</v>
      </c>
    </row>
    <row r="1220" customFormat="false" ht="15" hidden="false" customHeight="true" outlineLevel="0" collapsed="false">
      <c r="A1220" s="8" t="n">
        <v>71755</v>
      </c>
      <c r="B1220" s="2" t="s">
        <v>12</v>
      </c>
      <c r="C1220" s="2" t="s">
        <v>13</v>
      </c>
    </row>
    <row r="1221" customFormat="false" ht="15" hidden="false" customHeight="true" outlineLevel="0" collapsed="false">
      <c r="A1221" s="8" t="n">
        <v>71840</v>
      </c>
      <c r="B1221" s="2" t="s">
        <v>7</v>
      </c>
      <c r="C1221" s="2" t="s">
        <v>14</v>
      </c>
    </row>
    <row r="1222" customFormat="false" ht="15" hidden="false" customHeight="true" outlineLevel="0" collapsed="false">
      <c r="A1222" s="8" t="n">
        <v>71875</v>
      </c>
      <c r="B1222" s="2" t="s">
        <v>7</v>
      </c>
      <c r="C1222" s="2" t="s">
        <v>15</v>
      </c>
    </row>
    <row r="1223" customFormat="false" ht="15" hidden="false" customHeight="true" outlineLevel="0" collapsed="false">
      <c r="A1223" s="8" t="n">
        <v>71896</v>
      </c>
      <c r="B1223" s="2" t="s">
        <v>7</v>
      </c>
      <c r="C1223" s="2" t="s">
        <v>16</v>
      </c>
    </row>
    <row r="1224" customFormat="false" ht="15" hidden="false" customHeight="true" outlineLevel="0" collapsed="false">
      <c r="A1224" s="8" t="n">
        <v>71909</v>
      </c>
      <c r="B1224" s="2" t="s">
        <v>12</v>
      </c>
      <c r="C1224" s="2" t="s">
        <v>17</v>
      </c>
    </row>
    <row r="1225" customFormat="false" ht="15" hidden="false" customHeight="true" outlineLevel="0" collapsed="false">
      <c r="A1225" s="8" t="n">
        <v>71914</v>
      </c>
      <c r="B1225" s="2" t="s">
        <v>6</v>
      </c>
      <c r="C1225" s="2" t="s">
        <v>21</v>
      </c>
      <c r="G1225" s="9"/>
    </row>
    <row r="1226" customFormat="false" ht="15" hidden="false" customHeight="true" outlineLevel="0" collapsed="false">
      <c r="A1226" s="8" t="n">
        <v>71949</v>
      </c>
      <c r="B1226" s="2" t="s">
        <v>6</v>
      </c>
      <c r="C1226" s="2" t="s">
        <v>18</v>
      </c>
    </row>
    <row r="1227" customFormat="false" ht="15" hidden="false" customHeight="true" outlineLevel="0" collapsed="false">
      <c r="A1227" s="6" t="n">
        <v>71956</v>
      </c>
      <c r="B1227" s="7" t="s">
        <v>6</v>
      </c>
      <c r="C1227" s="7" t="s">
        <v>4</v>
      </c>
    </row>
    <row r="1228" customFormat="false" ht="15" hidden="false" customHeight="true" outlineLevel="0" collapsed="false">
      <c r="A1228" s="6" t="n">
        <v>71997</v>
      </c>
      <c r="B1228" s="7" t="s">
        <v>3</v>
      </c>
      <c r="C1228" s="7" t="s">
        <v>5</v>
      </c>
    </row>
    <row r="1229" customFormat="false" ht="15" hidden="false" customHeight="true" outlineLevel="0" collapsed="false">
      <c r="A1229" s="6" t="n">
        <v>71998</v>
      </c>
      <c r="B1229" s="7" t="s">
        <v>6</v>
      </c>
      <c r="C1229" s="7" t="s">
        <v>5</v>
      </c>
    </row>
    <row r="1230" customFormat="false" ht="15" hidden="false" customHeight="true" outlineLevel="0" collapsed="false">
      <c r="A1230" s="6" t="n">
        <v>72043</v>
      </c>
      <c r="B1230" s="7" t="s">
        <v>7</v>
      </c>
      <c r="C1230" s="7" t="s">
        <v>8</v>
      </c>
    </row>
    <row r="1231" customFormat="false" ht="15" hidden="false" customHeight="true" outlineLevel="0" collapsed="false">
      <c r="A1231" s="6" t="n">
        <v>72066</v>
      </c>
      <c r="B1231" s="7" t="s">
        <v>19</v>
      </c>
      <c r="C1231" s="7" t="s">
        <v>10</v>
      </c>
    </row>
    <row r="1232" customFormat="false" ht="15" hidden="false" customHeight="true" outlineLevel="0" collapsed="false">
      <c r="A1232" s="6" t="n">
        <v>72076</v>
      </c>
      <c r="B1232" s="7" t="s">
        <v>20</v>
      </c>
      <c r="C1232" s="7" t="s">
        <v>11</v>
      </c>
    </row>
    <row r="1233" customFormat="false" ht="15" hidden="false" customHeight="true" outlineLevel="0" collapsed="false">
      <c r="A1233" s="6" t="n">
        <v>72105</v>
      </c>
      <c r="B1233" s="7" t="s">
        <v>12</v>
      </c>
      <c r="C1233" s="7" t="s">
        <v>13</v>
      </c>
    </row>
    <row r="1234" customFormat="false" ht="15" hidden="false" customHeight="true" outlineLevel="0" collapsed="false">
      <c r="A1234" s="6" t="n">
        <v>72205</v>
      </c>
      <c r="B1234" s="7" t="s">
        <v>9</v>
      </c>
      <c r="C1234" s="7" t="s">
        <v>14</v>
      </c>
    </row>
    <row r="1235" customFormat="false" ht="15" hidden="false" customHeight="true" outlineLevel="0" collapsed="false">
      <c r="A1235" s="6" t="n">
        <v>72240</v>
      </c>
      <c r="B1235" s="7" t="s">
        <v>9</v>
      </c>
      <c r="C1235" s="7" t="s">
        <v>15</v>
      </c>
    </row>
    <row r="1236" customFormat="false" ht="15" hidden="false" customHeight="true" outlineLevel="0" collapsed="false">
      <c r="A1236" s="6" t="n">
        <v>72261</v>
      </c>
      <c r="B1236" s="7" t="s">
        <v>9</v>
      </c>
      <c r="C1236" s="7" t="s">
        <v>16</v>
      </c>
    </row>
    <row r="1237" customFormat="false" ht="15" hidden="false" customHeight="true" outlineLevel="0" collapsed="false">
      <c r="A1237" s="6" t="n">
        <v>72274</v>
      </c>
      <c r="B1237" s="7" t="s">
        <v>7</v>
      </c>
      <c r="C1237" s="7" t="s">
        <v>17</v>
      </c>
    </row>
    <row r="1238" customFormat="false" ht="15" hidden="false" customHeight="true" outlineLevel="0" collapsed="false">
      <c r="A1238" s="6" t="n">
        <v>72279</v>
      </c>
      <c r="B1238" s="7" t="s">
        <v>20</v>
      </c>
      <c r="C1238" s="7" t="s">
        <v>21</v>
      </c>
      <c r="G1238" s="9"/>
    </row>
    <row r="1239" customFormat="false" ht="15" hidden="false" customHeight="true" outlineLevel="0" collapsed="false">
      <c r="A1239" s="6" t="n">
        <v>72314</v>
      </c>
      <c r="B1239" s="7" t="s">
        <v>20</v>
      </c>
      <c r="C1239" s="7" t="s">
        <v>18</v>
      </c>
    </row>
    <row r="1240" customFormat="false" ht="15" hidden="false" customHeight="true" outlineLevel="0" collapsed="false">
      <c r="A1240" s="8" t="n">
        <v>72321</v>
      </c>
      <c r="B1240" s="2" t="s">
        <v>20</v>
      </c>
      <c r="C1240" s="2" t="s">
        <v>4</v>
      </c>
    </row>
    <row r="1241" customFormat="false" ht="15" hidden="false" customHeight="true" outlineLevel="0" collapsed="false">
      <c r="A1241" s="8" t="n">
        <v>72382</v>
      </c>
      <c r="B1241" s="2" t="s">
        <v>3</v>
      </c>
      <c r="C1241" s="2" t="s">
        <v>5</v>
      </c>
    </row>
    <row r="1242" customFormat="false" ht="15" hidden="false" customHeight="true" outlineLevel="0" collapsed="false">
      <c r="A1242" s="8" t="n">
        <v>72383</v>
      </c>
      <c r="B1242" s="2" t="s">
        <v>6</v>
      </c>
      <c r="C1242" s="2" t="s">
        <v>5</v>
      </c>
    </row>
    <row r="1243" customFormat="false" ht="15" hidden="false" customHeight="true" outlineLevel="0" collapsed="false">
      <c r="A1243" s="8" t="n">
        <v>72428</v>
      </c>
      <c r="B1243" s="2" t="s">
        <v>7</v>
      </c>
      <c r="C1243" s="2" t="s">
        <v>8</v>
      </c>
    </row>
    <row r="1244" customFormat="false" ht="15" hidden="false" customHeight="true" outlineLevel="0" collapsed="false">
      <c r="A1244" s="8" t="n">
        <v>72431</v>
      </c>
      <c r="B1244" s="2" t="s">
        <v>3</v>
      </c>
      <c r="C1244" s="2" t="s">
        <v>10</v>
      </c>
    </row>
    <row r="1245" customFormat="false" ht="15" hidden="false" customHeight="true" outlineLevel="0" collapsed="false">
      <c r="A1245" s="8" t="n">
        <v>72441</v>
      </c>
      <c r="B1245" s="2" t="s">
        <v>12</v>
      </c>
      <c r="C1245" s="2" t="s">
        <v>11</v>
      </c>
    </row>
    <row r="1246" customFormat="false" ht="15" hidden="false" customHeight="true" outlineLevel="0" collapsed="false">
      <c r="A1246" s="8" t="n">
        <v>72490</v>
      </c>
      <c r="B1246" s="2" t="s">
        <v>12</v>
      </c>
      <c r="C1246" s="2" t="s">
        <v>13</v>
      </c>
    </row>
    <row r="1247" customFormat="false" ht="15" hidden="false" customHeight="true" outlineLevel="0" collapsed="false">
      <c r="A1247" s="8" t="n">
        <v>72570</v>
      </c>
      <c r="B1247" s="2" t="s">
        <v>19</v>
      </c>
      <c r="C1247" s="2" t="s">
        <v>14</v>
      </c>
    </row>
    <row r="1248" customFormat="false" ht="15" hidden="false" customHeight="true" outlineLevel="0" collapsed="false">
      <c r="A1248" s="8" t="n">
        <v>72605</v>
      </c>
      <c r="B1248" s="2" t="s">
        <v>19</v>
      </c>
      <c r="C1248" s="2" t="s">
        <v>15</v>
      </c>
    </row>
    <row r="1249" customFormat="false" ht="15" hidden="false" customHeight="true" outlineLevel="0" collapsed="false">
      <c r="A1249" s="8" t="n">
        <v>72626</v>
      </c>
      <c r="B1249" s="2" t="s">
        <v>19</v>
      </c>
      <c r="C1249" s="2" t="s">
        <v>16</v>
      </c>
    </row>
    <row r="1250" customFormat="false" ht="15" hidden="false" customHeight="true" outlineLevel="0" collapsed="false">
      <c r="A1250" s="8" t="n">
        <v>72639</v>
      </c>
      <c r="B1250" s="2" t="s">
        <v>9</v>
      </c>
      <c r="C1250" s="2" t="s">
        <v>17</v>
      </c>
    </row>
    <row r="1251" customFormat="false" ht="15" hidden="false" customHeight="true" outlineLevel="0" collapsed="false">
      <c r="A1251" s="8" t="n">
        <v>72644</v>
      </c>
      <c r="B1251" s="2" t="s">
        <v>12</v>
      </c>
      <c r="C1251" s="2" t="s">
        <v>21</v>
      </c>
      <c r="G1251" s="9"/>
    </row>
    <row r="1252" customFormat="false" ht="15" hidden="false" customHeight="true" outlineLevel="0" collapsed="false">
      <c r="A1252" s="8" t="n">
        <v>72679</v>
      </c>
      <c r="B1252" s="2" t="s">
        <v>12</v>
      </c>
      <c r="C1252" s="2" t="s">
        <v>18</v>
      </c>
    </row>
    <row r="1253" customFormat="false" ht="15" hidden="false" customHeight="true" outlineLevel="0" collapsed="false">
      <c r="A1253" s="6" t="n">
        <v>72686</v>
      </c>
      <c r="B1253" s="7" t="s">
        <v>12</v>
      </c>
      <c r="C1253" s="7" t="s">
        <v>22</v>
      </c>
    </row>
    <row r="1254" customFormat="false" ht="15" hidden="false" customHeight="true" outlineLevel="0" collapsed="false">
      <c r="A1254" s="6" t="n">
        <v>72739</v>
      </c>
      <c r="B1254" s="7" t="s">
        <v>3</v>
      </c>
      <c r="C1254" s="7" t="s">
        <v>5</v>
      </c>
    </row>
    <row r="1255" customFormat="false" ht="15" hidden="false" customHeight="true" outlineLevel="0" collapsed="false">
      <c r="A1255" s="6" t="n">
        <v>72740</v>
      </c>
      <c r="B1255" s="7" t="s">
        <v>6</v>
      </c>
      <c r="C1255" s="7" t="s">
        <v>5</v>
      </c>
    </row>
    <row r="1256" customFormat="false" ht="15" hidden="false" customHeight="true" outlineLevel="0" collapsed="false">
      <c r="A1256" s="6" t="n">
        <v>72785</v>
      </c>
      <c r="B1256" s="7" t="s">
        <v>7</v>
      </c>
      <c r="C1256" s="7" t="s">
        <v>8</v>
      </c>
    </row>
    <row r="1257" customFormat="false" ht="15" hidden="false" customHeight="true" outlineLevel="0" collapsed="false">
      <c r="A1257" s="6" t="n">
        <v>72796</v>
      </c>
      <c r="B1257" s="7" t="s">
        <v>6</v>
      </c>
      <c r="C1257" s="7" t="s">
        <v>10</v>
      </c>
    </row>
    <row r="1258" customFormat="false" ht="15" hidden="false" customHeight="true" outlineLevel="0" collapsed="false">
      <c r="A1258" s="6" t="n">
        <v>72806</v>
      </c>
      <c r="B1258" s="7" t="s">
        <v>7</v>
      </c>
      <c r="C1258" s="7" t="s">
        <v>11</v>
      </c>
    </row>
    <row r="1259" customFormat="false" ht="15" hidden="false" customHeight="true" outlineLevel="0" collapsed="false">
      <c r="A1259" s="6" t="n">
        <v>72847</v>
      </c>
      <c r="B1259" s="7" t="s">
        <v>12</v>
      </c>
      <c r="C1259" s="7" t="s">
        <v>13</v>
      </c>
    </row>
    <row r="1260" customFormat="false" ht="15" hidden="false" customHeight="true" outlineLevel="0" collapsed="false">
      <c r="A1260" s="6" t="n">
        <v>72935</v>
      </c>
      <c r="B1260" s="7" t="s">
        <v>3</v>
      </c>
      <c r="C1260" s="7" t="s">
        <v>14</v>
      </c>
    </row>
    <row r="1261" customFormat="false" ht="15" hidden="false" customHeight="true" outlineLevel="0" collapsed="false">
      <c r="A1261" s="6" t="n">
        <v>72970</v>
      </c>
      <c r="B1261" s="7" t="s">
        <v>3</v>
      </c>
      <c r="C1261" s="7" t="s">
        <v>15</v>
      </c>
    </row>
    <row r="1262" customFormat="false" ht="15" hidden="false" customHeight="true" outlineLevel="0" collapsed="false">
      <c r="A1262" s="6" t="n">
        <v>72991</v>
      </c>
      <c r="B1262" s="7" t="s">
        <v>3</v>
      </c>
      <c r="C1262" s="7" t="s">
        <v>16</v>
      </c>
    </row>
    <row r="1263" customFormat="false" ht="15" hidden="false" customHeight="true" outlineLevel="0" collapsed="false">
      <c r="A1263" s="6" t="n">
        <v>73004</v>
      </c>
      <c r="B1263" s="7" t="s">
        <v>19</v>
      </c>
      <c r="C1263" s="7" t="s">
        <v>17</v>
      </c>
    </row>
    <row r="1264" customFormat="false" ht="15" hidden="false" customHeight="true" outlineLevel="0" collapsed="false">
      <c r="A1264" s="6" t="n">
        <v>73009</v>
      </c>
      <c r="B1264" s="7" t="s">
        <v>7</v>
      </c>
      <c r="C1264" s="7" t="s">
        <v>21</v>
      </c>
    </row>
    <row r="1265" customFormat="false" ht="15" hidden="false" customHeight="true" outlineLevel="0" collapsed="false">
      <c r="A1265" s="6" t="n">
        <v>73044</v>
      </c>
      <c r="B1265" s="7" t="s">
        <v>7</v>
      </c>
      <c r="C1265" s="7" t="s">
        <v>18</v>
      </c>
    </row>
    <row r="1266" customFormat="false" ht="15" hidden="false" customHeight="true" outlineLevel="0" collapsed="false">
      <c r="A1266" s="6"/>
      <c r="B1266" s="7"/>
      <c r="C1266" s="7"/>
    </row>
    <row r="1267" customFormat="false" ht="15" hidden="false" customHeight="true" outlineLevel="0" collapsed="false">
      <c r="A1267" s="10" t="s">
        <v>23</v>
      </c>
    </row>
    <row r="1268" customFormat="false" ht="15" hidden="false" customHeight="true" outlineLevel="0" collapsed="false">
      <c r="A1268" s="11"/>
    </row>
    <row r="1269" customFormat="false" ht="15" hidden="false" customHeight="true" outlineLevel="0" collapsed="false">
      <c r="A1269" s="12" t="s">
        <v>24</v>
      </c>
    </row>
    <row r="1270" customFormat="false" ht="15" hidden="false" customHeight="true" outlineLevel="0" collapsed="false">
      <c r="A1270" s="11"/>
    </row>
    <row r="1271" customFormat="false" ht="15" hidden="false" customHeight="true" outlineLevel="0" collapsed="false">
      <c r="A1271" s="12" t="s">
        <v>25</v>
      </c>
    </row>
    <row r="1272" customFormat="false" ht="15" hidden="false" customHeight="true" outlineLevel="0" collapsed="false">
      <c r="A1272" s="11"/>
    </row>
    <row r="1273" customFormat="false" ht="15" hidden="false" customHeight="true" outlineLevel="0" collapsed="false">
      <c r="A1273" s="12" t="s">
        <v>26</v>
      </c>
    </row>
    <row r="1274" customFormat="false" ht="15" hidden="false" customHeight="true" outlineLevel="0" collapsed="false">
      <c r="A1274" s="11"/>
    </row>
    <row r="1275" customFormat="false" ht="15" hidden="false" customHeight="true" outlineLevel="0" collapsed="false">
      <c r="A1275" s="12" t="s">
        <v>27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3" width="11"/>
    <col collapsed="false" customWidth="true" hidden="false" outlineLevel="0" max="2" min="2" style="13" width="19"/>
    <col collapsed="false" customWidth="true" hidden="false" outlineLevel="0" max="4" min="3" style="13" width="16.86"/>
    <col collapsed="false" customWidth="true" hidden="false" outlineLevel="0" max="5" min="5" style="13" width="22.43"/>
    <col collapsed="false" customWidth="true" hidden="false" outlineLevel="0" max="6" min="6" style="13" width="17.43"/>
    <col collapsed="false" customWidth="true" hidden="false" outlineLevel="0" max="7" min="7" style="13" width="19.86"/>
    <col collapsed="false" customWidth="true" hidden="false" outlineLevel="0" max="8" min="8" style="13" width="20.14"/>
    <col collapsed="false" customWidth="true" hidden="false" outlineLevel="0" max="9" min="9" style="13" width="16.86"/>
    <col collapsed="false" customWidth="true" hidden="false" outlineLevel="0" max="10" min="10" style="13" width="22.43"/>
    <col collapsed="false" customWidth="false" hidden="false" outlineLevel="0" max="16384" min="11" style="13" width="9.14"/>
  </cols>
  <sheetData>
    <row r="1" customFormat="false" ht="15" hidden="false" customHeight="true" outlineLevel="0" collapsed="false">
      <c r="B1" s="14" t="s">
        <v>28</v>
      </c>
      <c r="C1" s="15" t="n">
        <v>0.1635</v>
      </c>
      <c r="D1" s="16"/>
      <c r="E1" s="16"/>
      <c r="F1" s="17" t="s">
        <v>29</v>
      </c>
      <c r="G1" s="14" t="s">
        <v>28</v>
      </c>
      <c r="H1" s="15" t="n">
        <f aca="false">C1</f>
        <v>0.1635</v>
      </c>
      <c r="I1" s="16"/>
      <c r="J1" s="16"/>
    </row>
    <row r="2" customFormat="false" ht="15" hidden="false" customHeight="true" outlineLevel="0" collapsed="false">
      <c r="B2" s="18" t="s">
        <v>30</v>
      </c>
      <c r="C2" s="19" t="n">
        <v>46105</v>
      </c>
      <c r="D2" s="20"/>
      <c r="E2" s="20"/>
      <c r="F2" s="21" t="n">
        <f aca="false">(C3-SUM(J7,J9:J12,J14:J21,J23:J27,J29:J34,J36:J42,J44:J47))/F9</f>
        <v>230995.235916208</v>
      </c>
      <c r="G2" s="18" t="s">
        <v>30</v>
      </c>
      <c r="H2" s="19" t="n">
        <f aca="false">C2</f>
        <v>46105</v>
      </c>
      <c r="I2" s="20"/>
      <c r="J2" s="20"/>
    </row>
    <row r="3" customFormat="false" ht="15.75" hidden="false" customHeight="true" outlineLevel="0" collapsed="false">
      <c r="B3" s="22" t="s">
        <v>31</v>
      </c>
      <c r="C3" s="23" t="n">
        <f aca="false">SUM(E7:E43)</f>
        <v>6648042.49853969</v>
      </c>
      <c r="F3" s="24" t="n">
        <f aca="false">(1+$H$1)^(I8/365)</f>
        <v>0.967755462047697</v>
      </c>
      <c r="G3" s="22" t="s">
        <v>31</v>
      </c>
      <c r="H3" s="23" t="n">
        <f aca="false">SUM(J7:J47)</f>
        <v>6648042.49853969</v>
      </c>
    </row>
    <row r="4" customFormat="false" ht="15.75" hidden="false" customHeight="true" outlineLevel="0" collapsed="false">
      <c r="F4" s="24" t="n">
        <f aca="false">(1+$H$1)^(I13/365)</f>
        <v>0.83487389277595</v>
      </c>
    </row>
    <row r="5" customFormat="false" ht="15.75" hidden="false" customHeight="true" outlineLevel="0" collapsed="false">
      <c r="B5" s="25" t="s">
        <v>32</v>
      </c>
      <c r="C5" s="25"/>
      <c r="D5" s="25"/>
      <c r="E5" s="25"/>
      <c r="F5" s="24" t="n">
        <f aca="false">(1+$H$1)^(I22/365)</f>
        <v>0.599315562568273</v>
      </c>
      <c r="G5" s="25" t="s">
        <v>33</v>
      </c>
      <c r="H5" s="25"/>
      <c r="I5" s="25"/>
      <c r="J5" s="25"/>
    </row>
    <row r="6" customFormat="false" ht="15" hidden="false" customHeight="true" outlineLevel="0" collapsed="false">
      <c r="B6" s="26" t="s">
        <v>34</v>
      </c>
      <c r="C6" s="26" t="s">
        <v>35</v>
      </c>
      <c r="D6" s="26" t="s">
        <v>36</v>
      </c>
      <c r="E6" s="26" t="s">
        <v>37</v>
      </c>
      <c r="F6" s="24" t="n">
        <f aca="false">(1+$H$1)^(I28/365)</f>
        <v>0.444738555079338</v>
      </c>
      <c r="G6" s="26" t="s">
        <v>34</v>
      </c>
      <c r="H6" s="26" t="s">
        <v>35</v>
      </c>
      <c r="I6" s="26" t="s">
        <v>36</v>
      </c>
      <c r="J6" s="26" t="s">
        <v>37</v>
      </c>
    </row>
    <row r="7" customFormat="false" ht="15" hidden="false" customHeight="true" outlineLevel="0" collapsed="false">
      <c r="A7" s="27"/>
      <c r="B7" s="28" t="n">
        <v>45131</v>
      </c>
      <c r="C7" s="29" t="n">
        <v>158682.46</v>
      </c>
      <c r="D7" s="30" t="n">
        <f aca="false">$C$2-B7</f>
        <v>974</v>
      </c>
      <c r="E7" s="31" t="n">
        <f aca="false">C7*(1+$C$1)^(D7/365)</f>
        <v>237698.302075161</v>
      </c>
      <c r="F7" s="24" t="n">
        <f aca="false">(1+$H$1)^(I35/365)</f>
        <v>0.349332445624529</v>
      </c>
      <c r="G7" s="28" t="n">
        <v>46156</v>
      </c>
      <c r="H7" s="29" t="n">
        <v>265586.79</v>
      </c>
      <c r="I7" s="30" t="n">
        <f aca="false">$H$2-G7</f>
        <v>-51</v>
      </c>
      <c r="J7" s="31" t="n">
        <f aca="false">H7*(1+$H$1)^(I7/365)</f>
        <v>260026.250610396</v>
      </c>
    </row>
    <row r="8" customFormat="false" ht="15" hidden="false" customHeight="true" outlineLevel="0" collapsed="false">
      <c r="A8" s="27"/>
      <c r="B8" s="28" t="n">
        <v>45173</v>
      </c>
      <c r="C8" s="29" t="n">
        <v>168866.43</v>
      </c>
      <c r="D8" s="30" t="n">
        <f aca="false">$C$2-B8</f>
        <v>932</v>
      </c>
      <c r="E8" s="31" t="n">
        <f aca="false">C8*(1+$C$1)^(D8/365)</f>
        <v>248583.808727024</v>
      </c>
      <c r="F8" s="24" t="n">
        <f aca="false">(1+$H$1)^(I43/365)</f>
        <v>0.254648034713345</v>
      </c>
      <c r="G8" s="28" t="n">
        <v>46184</v>
      </c>
      <c r="H8" s="31" t="n">
        <f aca="false">$F$2</f>
        <v>230995.235916208</v>
      </c>
      <c r="I8" s="30" t="n">
        <f aca="false">$H$2-G8</f>
        <v>-79</v>
      </c>
      <c r="J8" s="31" t="n">
        <f aca="false">H8*(1+$H$1)^(I8/365)</f>
        <v>223546.901264907</v>
      </c>
    </row>
    <row r="9" customFormat="false" ht="15" hidden="false" customHeight="true" outlineLevel="0" collapsed="false">
      <c r="A9" s="27"/>
      <c r="B9" s="28" t="n">
        <v>45247</v>
      </c>
      <c r="C9" s="29" t="n">
        <v>173676.91</v>
      </c>
      <c r="D9" s="30" t="n">
        <f aca="false">$C$2-B9</f>
        <v>858</v>
      </c>
      <c r="E9" s="31" t="n">
        <f aca="false">C9*(1+$C$1)^(D9/365)</f>
        <v>247935.172042258</v>
      </c>
      <c r="F9" s="24" t="n">
        <f aca="false">SUM(F3:F8)</f>
        <v>3.45066395280913</v>
      </c>
      <c r="G9" s="28" t="n">
        <v>46252</v>
      </c>
      <c r="H9" s="29" t="n">
        <v>280581.24</v>
      </c>
      <c r="I9" s="30" t="n">
        <f aca="false">$H$2-G9</f>
        <v>-147</v>
      </c>
      <c r="J9" s="31" t="n">
        <f aca="false">H9*(1+$H$1)^(I9/365)</f>
        <v>263980.528058993</v>
      </c>
    </row>
    <row r="10" customFormat="false" ht="15" hidden="false" customHeight="true" outlineLevel="0" collapsed="false">
      <c r="A10" s="27"/>
      <c r="B10" s="28" t="n">
        <v>45331</v>
      </c>
      <c r="C10" s="29" t="n">
        <v>186451.47</v>
      </c>
      <c r="D10" s="30" t="n">
        <f aca="false">$C$2-B10</f>
        <v>774</v>
      </c>
      <c r="E10" s="31" t="n">
        <f aca="false">C10*(1+$C$1)^(D10/365)</f>
        <v>257055.316116073</v>
      </c>
      <c r="G10" s="28" t="n">
        <v>46286</v>
      </c>
      <c r="H10" s="29" t="n">
        <v>288821.06</v>
      </c>
      <c r="I10" s="30" t="n">
        <f aca="false">$H$2-G10</f>
        <v>-181</v>
      </c>
      <c r="J10" s="31" t="n">
        <f aca="false">H10*(1+$H$1)^(I10/365)</f>
        <v>267926.663952925</v>
      </c>
    </row>
    <row r="11" customFormat="false" ht="15" hidden="false" customHeight="true" outlineLevel="0" collapsed="false">
      <c r="A11" s="27"/>
      <c r="B11" s="28" t="n">
        <v>45387</v>
      </c>
      <c r="C11" s="29" t="n">
        <v>178529.25</v>
      </c>
      <c r="D11" s="30" t="n">
        <f aca="false">$C$2-B11</f>
        <v>718</v>
      </c>
      <c r="E11" s="31" t="n">
        <f aca="false">C11*(1+$C$1)^(D11/365)</f>
        <v>240480.559217287</v>
      </c>
      <c r="G11" s="28" t="n">
        <v>46344</v>
      </c>
      <c r="H11" s="29" t="n">
        <v>285433.58</v>
      </c>
      <c r="I11" s="30" t="n">
        <f aca="false">$H$2-G11</f>
        <v>-239</v>
      </c>
      <c r="J11" s="31" t="n">
        <f aca="false">H11*(1+$H$1)^(I11/365)</f>
        <v>258488.719033272</v>
      </c>
    </row>
    <row r="12" customFormat="false" ht="15" hidden="false" customHeight="true" outlineLevel="0" collapsed="false">
      <c r="A12" s="27"/>
      <c r="B12" s="28" t="n">
        <v>45482</v>
      </c>
      <c r="C12" s="29" t="n">
        <v>192409.21</v>
      </c>
      <c r="D12" s="30" t="n">
        <f aca="false">$C$2-B12</f>
        <v>623</v>
      </c>
      <c r="E12" s="31" t="n">
        <f aca="false">C12*(1+$C$1)^(D12/365)</f>
        <v>249160.486464178</v>
      </c>
      <c r="G12" s="28" t="n">
        <v>46440</v>
      </c>
      <c r="H12" s="29" t="n">
        <v>294778.8</v>
      </c>
      <c r="I12" s="30" t="n">
        <f aca="false">$H$2-G12</f>
        <v>-335</v>
      </c>
      <c r="J12" s="31" t="n">
        <f aca="false">H12*(1+$H$1)^(I12/365)</f>
        <v>256528.319110225</v>
      </c>
    </row>
    <row r="13" customFormat="false" ht="15" hidden="false" customHeight="true" outlineLevel="0" collapsed="false">
      <c r="A13" s="27"/>
      <c r="B13" s="28" t="n">
        <v>45588</v>
      </c>
      <c r="C13" s="29" t="n">
        <v>196114.29</v>
      </c>
      <c r="D13" s="30" t="n">
        <f aca="false">$C$2-B13</f>
        <v>517</v>
      </c>
      <c r="E13" s="31" t="n">
        <f aca="false">C13*(1+$C$1)^(D13/365)</f>
        <v>243031.895399494</v>
      </c>
      <c r="G13" s="28" t="n">
        <v>46540</v>
      </c>
      <c r="H13" s="31" t="n">
        <f aca="false">$F$2</f>
        <v>230995.235916208</v>
      </c>
      <c r="I13" s="30" t="n">
        <f aca="false">$H$2-G13</f>
        <v>-435</v>
      </c>
      <c r="J13" s="31" t="n">
        <f aca="false">H13*(1+$H$1)^(I13/365)</f>
        <v>192851.891822064</v>
      </c>
    </row>
    <row r="14" customFormat="false" ht="15" hidden="false" customHeight="true" outlineLevel="0" collapsed="false">
      <c r="A14" s="27"/>
      <c r="B14" s="28" t="n">
        <v>45653</v>
      </c>
      <c r="C14" s="29" t="n">
        <v>197261.55</v>
      </c>
      <c r="D14" s="30" t="n">
        <f aca="false">$C$2-B14</f>
        <v>452</v>
      </c>
      <c r="E14" s="31" t="n">
        <f aca="false">C14*(1+$C$1)^(D14/365)</f>
        <v>237949.421251191</v>
      </c>
      <c r="G14" s="28" t="n">
        <v>46608</v>
      </c>
      <c r="H14" s="29" t="n">
        <v>299631.14</v>
      </c>
      <c r="I14" s="30" t="n">
        <f aca="false">$H$2-G14</f>
        <v>-503</v>
      </c>
      <c r="J14" s="31" t="n">
        <f aca="false">H14*(1+$H$1)^(I14/365)</f>
        <v>243195.457657257</v>
      </c>
    </row>
    <row r="15" customFormat="false" ht="15" hidden="false" customHeight="true" outlineLevel="0" collapsed="false">
      <c r="A15" s="27"/>
      <c r="B15" s="28" t="n">
        <v>45797</v>
      </c>
      <c r="C15" s="29" t="n">
        <v>202072.03</v>
      </c>
      <c r="D15" s="30" t="n">
        <f aca="false">$C$2-B15</f>
        <v>308</v>
      </c>
      <c r="E15" s="31" t="n">
        <f aca="false">C15*(1+$C$1)^(D15/365)</f>
        <v>229616.040985644</v>
      </c>
      <c r="G15" s="28" t="n">
        <v>46745</v>
      </c>
      <c r="H15" s="29" t="n">
        <v>308976.36</v>
      </c>
      <c r="I15" s="30" t="n">
        <f aca="false">$H$2-G15</f>
        <v>-640</v>
      </c>
      <c r="J15" s="31" t="n">
        <f aca="false">H15*(1+$H$1)^(I15/365)</f>
        <v>236923.88575151</v>
      </c>
    </row>
    <row r="16" customFormat="false" ht="15" hidden="false" customHeight="true" outlineLevel="0" collapsed="false">
      <c r="A16" s="27"/>
      <c r="B16" s="28" t="n">
        <v>45849</v>
      </c>
      <c r="C16" s="29" t="n">
        <v>214846.59</v>
      </c>
      <c r="D16" s="30" t="n">
        <f aca="false">$C$2-B16</f>
        <v>256</v>
      </c>
      <c r="E16" s="31" t="n">
        <f aca="false">C16*(1+$C$1)^(D16/365)</f>
        <v>238921.387026552</v>
      </c>
      <c r="G16" s="28" t="n">
        <v>46801</v>
      </c>
      <c r="H16" s="29" t="n">
        <v>317216.18</v>
      </c>
      <c r="I16" s="30" t="n">
        <f aca="false">$H$2-G16</f>
        <v>-696</v>
      </c>
      <c r="J16" s="31" t="n">
        <f aca="false">H16*(1+$H$1)^(I16/365)</f>
        <v>237655.976208093</v>
      </c>
    </row>
    <row r="17" customFormat="false" ht="15" hidden="false" customHeight="true" outlineLevel="0" collapsed="false">
      <c r="A17" s="27"/>
      <c r="B17" s="28" t="n">
        <v>45992</v>
      </c>
      <c r="C17" s="29" t="n">
        <v>206924.37</v>
      </c>
      <c r="D17" s="30" t="n">
        <f aca="false">$C$2-B17</f>
        <v>113</v>
      </c>
      <c r="E17" s="31" t="n">
        <f aca="false">C17*(1+$C$1)^(D17/365)</f>
        <v>216856.37536483</v>
      </c>
      <c r="G17" s="28" t="n">
        <v>46947</v>
      </c>
      <c r="H17" s="29" t="n">
        <v>313828.7</v>
      </c>
      <c r="I17" s="30" t="n">
        <f aca="false">$H$2-G17</f>
        <v>-842</v>
      </c>
      <c r="J17" s="31" t="n">
        <f aca="false">H17*(1+$H$1)^(I17/365)</f>
        <v>221299.030628436</v>
      </c>
    </row>
    <row r="18" customFormat="false" ht="15" hidden="false" customHeight="true" outlineLevel="0" collapsed="false">
      <c r="A18" s="27"/>
      <c r="B18" s="28" t="n">
        <v>46066</v>
      </c>
      <c r="C18" s="29" t="n">
        <v>220804.33</v>
      </c>
      <c r="D18" s="30" t="n">
        <f aca="false">$C$2-B18</f>
        <v>39</v>
      </c>
      <c r="E18" s="31" t="n">
        <f aca="false">C18*(1+$C$1)^(D18/365)</f>
        <v>224406.110886807</v>
      </c>
      <c r="G18" s="28" t="n">
        <v>47021</v>
      </c>
      <c r="H18" s="29" t="n">
        <v>319173.92</v>
      </c>
      <c r="I18" s="30" t="n">
        <f aca="false">$H$2-G18</f>
        <v>-916</v>
      </c>
      <c r="J18" s="31" t="n">
        <f aca="false">H18*(1+$H$1)^(I18/365)</f>
        <v>218263.337542184</v>
      </c>
    </row>
    <row r="19" customFormat="false" ht="15" hidden="false" customHeight="true" outlineLevel="0" collapsed="false">
      <c r="A19" s="27"/>
      <c r="B19" s="28" t="n">
        <v>46122</v>
      </c>
      <c r="C19" s="29" t="n">
        <v>224509.41</v>
      </c>
      <c r="D19" s="30" t="n">
        <f aca="false">$C$2-B19</f>
        <v>-17</v>
      </c>
      <c r="E19" s="31" t="n">
        <f aca="false">C19*(1+$C$1)^(D19/365)</f>
        <v>222931.509418603</v>
      </c>
      <c r="G19" s="28" t="n">
        <v>47078</v>
      </c>
      <c r="H19" s="29" t="n">
        <v>320339.78</v>
      </c>
      <c r="I19" s="30" t="n">
        <f aca="false">$H$2-G19</f>
        <v>-973</v>
      </c>
      <c r="J19" s="31" t="n">
        <f aca="false">H19*(1+$H$1)^(I19/365)</f>
        <v>213940.940148066</v>
      </c>
    </row>
    <row r="20" customFormat="false" ht="15" hidden="false" customHeight="true" outlineLevel="0" collapsed="false">
      <c r="A20" s="27"/>
      <c r="B20" s="28" t="n">
        <v>46286</v>
      </c>
      <c r="C20" s="29" t="n">
        <v>218326.97</v>
      </c>
      <c r="D20" s="30" t="n">
        <f aca="false">$C$2-B20</f>
        <v>-181</v>
      </c>
      <c r="E20" s="31" t="n">
        <f aca="false">C20*(1+$C$1)^(D20/365)</f>
        <v>202532.380163172</v>
      </c>
      <c r="G20" s="28" t="n">
        <v>47242</v>
      </c>
      <c r="H20" s="29" t="n">
        <v>320696.56</v>
      </c>
      <c r="I20" s="30" t="n">
        <f aca="false">$H$2-G20</f>
        <v>-1137</v>
      </c>
      <c r="J20" s="31" t="n">
        <f aca="false">H20*(1+$H$1)^(I20/365)</f>
        <v>200090.974533</v>
      </c>
    </row>
    <row r="21" customFormat="false" ht="15" hidden="false" customHeight="true" outlineLevel="0" collapsed="false">
      <c r="A21" s="27"/>
      <c r="B21" s="28" t="n">
        <v>46353</v>
      </c>
      <c r="C21" s="29" t="n">
        <v>218441.44</v>
      </c>
      <c r="D21" s="30" t="n">
        <f aca="false">$C$2-B21</f>
        <v>-248</v>
      </c>
      <c r="E21" s="31" t="n">
        <f aca="false">C21*(1+$C$1)^(D21/365)</f>
        <v>197083.34448637</v>
      </c>
      <c r="G21" s="28" t="n">
        <v>47308</v>
      </c>
      <c r="H21" s="29" t="n">
        <v>325345.77</v>
      </c>
      <c r="I21" s="30" t="n">
        <f aca="false">$H$2-G21</f>
        <v>-1203</v>
      </c>
      <c r="J21" s="31" t="n">
        <f aca="false">H21*(1+$H$1)^(I21/365)</f>
        <v>197508.758115088</v>
      </c>
    </row>
    <row r="22" customFormat="false" ht="15" hidden="false" customHeight="true" outlineLevel="0" collapsed="false">
      <c r="A22" s="27"/>
      <c r="B22" s="28" t="n">
        <v>46391</v>
      </c>
      <c r="C22" s="29" t="n">
        <v>219316.97</v>
      </c>
      <c r="D22" s="30" t="n">
        <f aca="false">$C$2-B22</f>
        <v>-286</v>
      </c>
      <c r="E22" s="31" t="n">
        <f aca="false">C22*(1+$C$1)^(D22/365)</f>
        <v>194778.141844482</v>
      </c>
      <c r="G22" s="28" t="n">
        <v>47339</v>
      </c>
      <c r="H22" s="31" t="n">
        <f aca="false">$F$2</f>
        <v>230995.235916208</v>
      </c>
      <c r="I22" s="30" t="n">
        <f aca="false">$H$2-G22</f>
        <v>-1234</v>
      </c>
      <c r="J22" s="31" t="n">
        <f aca="false">H22*(1+$H$1)^(I22/365)</f>
        <v>138439.039763713</v>
      </c>
    </row>
    <row r="23" customFormat="false" ht="15" hidden="false" customHeight="true" outlineLevel="0" collapsed="false">
      <c r="A23" s="27"/>
      <c r="B23" s="28" t="n">
        <v>46525</v>
      </c>
      <c r="C23" s="29" t="n">
        <v>217426.99</v>
      </c>
      <c r="D23" s="30" t="n">
        <f aca="false">$C$2-B23</f>
        <v>-420</v>
      </c>
      <c r="E23" s="31" t="n">
        <f aca="false">C23*(1+$C$1)^(D23/365)</f>
        <v>182657.312067833</v>
      </c>
      <c r="G23" s="28" t="n">
        <v>47480</v>
      </c>
      <c r="H23" s="29" t="n">
        <v>324331.32</v>
      </c>
      <c r="I23" s="30" t="n">
        <f aca="false">$H$2-G23</f>
        <v>-1375</v>
      </c>
      <c r="J23" s="31" t="n">
        <f aca="false">H23*(1+$H$1)^(I23/365)</f>
        <v>183332.220775584</v>
      </c>
    </row>
    <row r="24" customFormat="false" ht="15" hidden="false" customHeight="true" outlineLevel="0" collapsed="false">
      <c r="A24" s="27"/>
      <c r="B24" s="28" t="n">
        <v>46668</v>
      </c>
      <c r="C24" s="29" t="n">
        <v>229852.2</v>
      </c>
      <c r="D24" s="30" t="n">
        <f aca="false">$C$2-B24</f>
        <v>-563</v>
      </c>
      <c r="E24" s="31" t="n">
        <f aca="false">C24*(1+$C$1)^(D24/365)</f>
        <v>181972.710616612</v>
      </c>
      <c r="G24" s="28" t="n">
        <v>47624</v>
      </c>
      <c r="H24" s="29" t="n">
        <v>332221.79</v>
      </c>
      <c r="I24" s="30" t="n">
        <f aca="false">$H$2-G24</f>
        <v>-1519</v>
      </c>
      <c r="J24" s="31" t="n">
        <f aca="false">H24*(1+$H$1)^(I24/365)</f>
        <v>176901.629037884</v>
      </c>
    </row>
    <row r="25" customFormat="false" ht="15" hidden="false" customHeight="true" outlineLevel="0" collapsed="false">
      <c r="A25" s="27"/>
      <c r="B25" s="28" t="n">
        <v>46813</v>
      </c>
      <c r="C25" s="29" t="n">
        <v>233206.78</v>
      </c>
      <c r="D25" s="30" t="n">
        <f aca="false">$C$2-B25</f>
        <v>-708</v>
      </c>
      <c r="E25" s="31" t="n">
        <f aca="false">C25*(1+$C$1)^(D25/365)</f>
        <v>173849.080765939</v>
      </c>
      <c r="G25" s="28" t="n">
        <v>47764</v>
      </c>
      <c r="H25" s="29" t="n">
        <v>340111.11</v>
      </c>
      <c r="I25" s="30" t="n">
        <f aca="false">$H$2-G25</f>
        <v>-1659</v>
      </c>
      <c r="J25" s="31" t="n">
        <f aca="false">H25*(1+$H$1)^(I25/365)</f>
        <v>170883.084013904</v>
      </c>
    </row>
    <row r="26" customFormat="false" ht="15" hidden="false" customHeight="true" outlineLevel="0" collapsed="false">
      <c r="A26" s="27"/>
      <c r="B26" s="28" t="n">
        <v>46881</v>
      </c>
      <c r="C26" s="29" t="n">
        <v>234851.87</v>
      </c>
      <c r="D26" s="30" t="n">
        <f aca="false">$C$2-B26</f>
        <v>-776</v>
      </c>
      <c r="E26" s="31" t="n">
        <f aca="false">C26*(1+$C$1)^(D26/365)</f>
        <v>170205.222121774</v>
      </c>
      <c r="G26" s="28" t="n">
        <v>47830</v>
      </c>
      <c r="H26" s="29" t="n">
        <v>338012.78</v>
      </c>
      <c r="I26" s="30" t="n">
        <f aca="false">$H$2-G26</f>
        <v>-1725</v>
      </c>
      <c r="J26" s="31" t="n">
        <f aca="false">H26*(1+$H$1)^(I26/365)</f>
        <v>165241.592273298</v>
      </c>
    </row>
    <row r="27" customFormat="false" ht="15" hidden="false" customHeight="true" outlineLevel="0" collapsed="false">
      <c r="A27" s="27"/>
      <c r="B27" s="28" t="n">
        <v>46938</v>
      </c>
      <c r="C27" s="29" t="n">
        <v>238207.19</v>
      </c>
      <c r="D27" s="30" t="n">
        <f aca="false">$C$2-B27</f>
        <v>-833</v>
      </c>
      <c r="E27" s="31" t="n">
        <f aca="false">C27*(1+$C$1)^(D27/365)</f>
        <v>168602.246398782</v>
      </c>
      <c r="G27" s="28" t="n">
        <v>47890</v>
      </c>
      <c r="H27" s="29" t="n">
        <v>337221.46</v>
      </c>
      <c r="I27" s="30" t="n">
        <f aca="false">$H$2-G27</f>
        <v>-1785</v>
      </c>
      <c r="J27" s="31" t="n">
        <f aca="false">H27*(1+$H$1)^(I27/365)</f>
        <v>160801.665109989</v>
      </c>
    </row>
    <row r="28" customFormat="false" ht="15" hidden="false" customHeight="true" outlineLevel="0" collapsed="false">
      <c r="A28" s="27"/>
      <c r="B28" s="28" t="n">
        <v>47102</v>
      </c>
      <c r="C28" s="29" t="n">
        <v>238152.04</v>
      </c>
      <c r="D28" s="30" t="n">
        <f aca="false">$C$2-B28</f>
        <v>-997</v>
      </c>
      <c r="E28" s="31" t="n">
        <f aca="false">C28*(1+$C$1)^(D28/365)</f>
        <v>157475.489779615</v>
      </c>
      <c r="G28" s="28" t="n">
        <v>48058</v>
      </c>
      <c r="H28" s="31" t="n">
        <f aca="false">$F$2</f>
        <v>230995.235916208</v>
      </c>
      <c r="I28" s="30" t="n">
        <f aca="false">$H$2-G28</f>
        <v>-1953</v>
      </c>
      <c r="J28" s="31" t="n">
        <f aca="false">H28*(1+$H$1)^(I28/365)</f>
        <v>102732.487451585</v>
      </c>
    </row>
    <row r="29" customFormat="false" ht="15" hidden="false" customHeight="true" outlineLevel="0" collapsed="false">
      <c r="A29" s="27"/>
      <c r="B29" s="28" t="n">
        <v>47172</v>
      </c>
      <c r="C29" s="29" t="n">
        <v>241507.09</v>
      </c>
      <c r="D29" s="30" t="n">
        <f aca="false">$C$2-B29</f>
        <v>-1067</v>
      </c>
      <c r="E29" s="31" t="n">
        <f aca="false">C29*(1+$C$1)^(D29/365)</f>
        <v>155122.864159277</v>
      </c>
      <c r="G29" s="28" t="n">
        <v>48123</v>
      </c>
      <c r="H29" s="29" t="n">
        <v>340521.63</v>
      </c>
      <c r="I29" s="30" t="n">
        <f aca="false">$H$2-G29</f>
        <v>-2018</v>
      </c>
      <c r="J29" s="31" t="n">
        <f aca="false">H29*(1+$H$1)^(I29/365)</f>
        <v>147413.637210005</v>
      </c>
    </row>
    <row r="30" customFormat="false" ht="15" hidden="false" customHeight="true" outlineLevel="0" collapsed="false">
      <c r="A30" s="27"/>
      <c r="B30" s="28" t="n">
        <v>47210</v>
      </c>
      <c r="C30" s="29" t="n">
        <v>253931.71</v>
      </c>
      <c r="D30" s="30" t="n">
        <f aca="false">$C$2-B30</f>
        <v>-1105</v>
      </c>
      <c r="E30" s="31" t="n">
        <f aca="false">C30*(1+$C$1)^(D30/365)</f>
        <v>160552.087097242</v>
      </c>
      <c r="G30" s="28" t="n">
        <v>48156</v>
      </c>
      <c r="H30" s="29" t="n">
        <v>348411.42</v>
      </c>
      <c r="I30" s="30" t="n">
        <f aca="false">$H$2-G30</f>
        <v>-2051</v>
      </c>
      <c r="J30" s="31" t="n">
        <f aca="false">H30*(1+$H$1)^(I30/365)</f>
        <v>148778.212894706</v>
      </c>
    </row>
    <row r="31" customFormat="false" ht="15" hidden="false" customHeight="true" outlineLevel="0" collapsed="false">
      <c r="A31" s="27"/>
      <c r="B31" s="28" t="n">
        <v>47336</v>
      </c>
      <c r="C31" s="29" t="n">
        <v>246507.19</v>
      </c>
      <c r="D31" s="30" t="n">
        <f aca="false">$C$2-B31</f>
        <v>-1231</v>
      </c>
      <c r="E31" s="31" t="n">
        <f aca="false">C31*(1+$C$1)^(D31/365)</f>
        <v>147919.589189704</v>
      </c>
      <c r="G31" s="28" t="n">
        <v>48290</v>
      </c>
      <c r="H31" s="29" t="n">
        <v>356301.3</v>
      </c>
      <c r="I31" s="30" t="n">
        <f aca="false">$H$2-G31</f>
        <v>-2185</v>
      </c>
      <c r="J31" s="31" t="n">
        <f aca="false">H31*(1+$H$1)^(I31/365)</f>
        <v>143919.61567824</v>
      </c>
    </row>
    <row r="32" customFormat="false" ht="15" hidden="false" customHeight="true" outlineLevel="0" collapsed="false">
      <c r="A32" s="27"/>
      <c r="B32" s="28" t="n">
        <v>47501</v>
      </c>
      <c r="C32" s="29" t="n">
        <v>258931.85</v>
      </c>
      <c r="D32" s="30" t="n">
        <f aca="false">$C$2-B32</f>
        <v>-1396</v>
      </c>
      <c r="E32" s="31" t="n">
        <f aca="false">C32*(1+$C$1)^(D32/365)</f>
        <v>145094.705166082</v>
      </c>
      <c r="G32" s="28" t="n">
        <v>48452</v>
      </c>
      <c r="H32" s="29" t="n">
        <v>353411.52</v>
      </c>
      <c r="I32" s="30" t="n">
        <f aca="false">$H$2-G32</f>
        <v>-2347</v>
      </c>
      <c r="J32" s="31" t="n">
        <f aca="false">H32*(1+$H$1)^(I32/365)</f>
        <v>133473.122448011</v>
      </c>
    </row>
    <row r="33" customFormat="false" ht="15" hidden="false" customHeight="true" outlineLevel="0" collapsed="false">
      <c r="A33" s="27"/>
      <c r="B33" s="28" t="n">
        <v>47564</v>
      </c>
      <c r="C33" s="29" t="n">
        <v>249806.9</v>
      </c>
      <c r="D33" s="30" t="n">
        <f aca="false">$C$2-B33</f>
        <v>-1459</v>
      </c>
      <c r="E33" s="31" t="n">
        <f aca="false">C33*(1+$C$1)^(D33/365)</f>
        <v>136370.069360116</v>
      </c>
      <c r="G33" s="28" t="n">
        <v>48515</v>
      </c>
      <c r="H33" s="29" t="n">
        <v>361301.44</v>
      </c>
      <c r="I33" s="30" t="n">
        <f aca="false">$H$2-G33</f>
        <v>-2410</v>
      </c>
      <c r="J33" s="31" t="n">
        <f aca="false">H33*(1+$H$1)^(I33/365)</f>
        <v>132932.555063631</v>
      </c>
    </row>
    <row r="34" customFormat="false" ht="15" hidden="false" customHeight="true" outlineLevel="0" collapsed="false">
      <c r="A34" s="27"/>
      <c r="B34" s="28" t="n">
        <v>47609</v>
      </c>
      <c r="C34" s="29" t="n">
        <v>262231.75</v>
      </c>
      <c r="D34" s="30" t="n">
        <f aca="false">$C$2-B34</f>
        <v>-1504</v>
      </c>
      <c r="E34" s="31" t="n">
        <f aca="false">C34*(1+$C$1)^(D34/365)</f>
        <v>140504.98076822</v>
      </c>
      <c r="G34" s="28" t="n">
        <v>48561</v>
      </c>
      <c r="H34" s="29" t="n">
        <v>359297.32</v>
      </c>
      <c r="I34" s="30" t="n">
        <f aca="false">$H$2-G34</f>
        <v>-2456</v>
      </c>
      <c r="J34" s="31" t="n">
        <f aca="false">H34*(1+$H$1)^(I34/365)</f>
        <v>129696.205729865</v>
      </c>
    </row>
    <row r="35" customFormat="false" ht="15" hidden="false" customHeight="true" outlineLevel="0" collapsed="false">
      <c r="A35" s="27"/>
      <c r="B35" s="28" t="n">
        <v>47683</v>
      </c>
      <c r="C35" s="29" t="n">
        <v>245514.63</v>
      </c>
      <c r="D35" s="30" t="n">
        <f aca="false">$C$2-B35</f>
        <v>-1578</v>
      </c>
      <c r="E35" s="31" t="n">
        <f aca="false">C35*(1+$C$1)^(D35/365)</f>
        <v>127570.531124622</v>
      </c>
      <c r="G35" s="28" t="n">
        <v>48640</v>
      </c>
      <c r="H35" s="31" t="n">
        <f aca="false">$F$2</f>
        <v>230995.235916208</v>
      </c>
      <c r="I35" s="30" t="n">
        <f aca="false">$H$2-G35</f>
        <v>-2535</v>
      </c>
      <c r="J35" s="31" t="n">
        <f aca="false">H35*(1+$H$1)^(I35/365)</f>
        <v>80694.1306902241</v>
      </c>
    </row>
    <row r="36" customFormat="false" ht="15" hidden="false" customHeight="true" outlineLevel="0" collapsed="false">
      <c r="A36" s="27"/>
      <c r="B36" s="28" t="n">
        <v>47795</v>
      </c>
      <c r="C36" s="29" t="n">
        <v>257938.92</v>
      </c>
      <c r="D36" s="30" t="n">
        <f aca="false">$C$2-B36</f>
        <v>-1690</v>
      </c>
      <c r="E36" s="31" t="n">
        <f aca="false">C36*(1+$C$1)^(D36/365)</f>
        <v>127940.927065489</v>
      </c>
      <c r="G36" s="28" t="n">
        <v>48750</v>
      </c>
      <c r="H36" s="29" t="n">
        <v>364601.34</v>
      </c>
      <c r="I36" s="30" t="n">
        <f aca="false">$H$2-G36</f>
        <v>-2645</v>
      </c>
      <c r="J36" s="31" t="n">
        <f aca="false">H36*(1+$H$1)^(I36/365)</f>
        <v>121685.036735814</v>
      </c>
    </row>
    <row r="37" customFormat="false" ht="15" hidden="false" customHeight="true" outlineLevel="0" collapsed="false">
      <c r="A37" s="27"/>
      <c r="B37" s="28" t="n">
        <v>47865</v>
      </c>
      <c r="C37" s="29" t="n">
        <v>250514.33</v>
      </c>
      <c r="D37" s="30" t="n">
        <f aca="false">$C$2-B37</f>
        <v>-1760</v>
      </c>
      <c r="E37" s="31" t="n">
        <f aca="false">C37*(1+$C$1)^(D37/365)</f>
        <v>120701.441814281</v>
      </c>
      <c r="G37" s="28" t="n">
        <v>48816</v>
      </c>
      <c r="H37" s="29" t="n">
        <v>352418.96</v>
      </c>
      <c r="I37" s="30" t="n">
        <f aca="false">$H$2-G37</f>
        <v>-2711</v>
      </c>
      <c r="J37" s="31" t="n">
        <f aca="false">H37*(1+$H$1)^(I37/365)</f>
        <v>114442.194740552</v>
      </c>
    </row>
    <row r="38" customFormat="false" ht="15" hidden="false" customHeight="true" outlineLevel="0" collapsed="false">
      <c r="A38" s="27"/>
      <c r="B38" s="28" t="n">
        <v>47952</v>
      </c>
      <c r="C38" s="29" t="n">
        <v>262939.25</v>
      </c>
      <c r="D38" s="30" t="n">
        <f aca="false">$C$2-B38</f>
        <v>-1847</v>
      </c>
      <c r="E38" s="31" t="n">
        <f aca="false">C38*(1+$C$1)^(D38/365)</f>
        <v>122196.700733316</v>
      </c>
      <c r="G38" s="28" t="n">
        <v>48904</v>
      </c>
      <c r="H38" s="29" t="n">
        <v>360308.51</v>
      </c>
      <c r="I38" s="30" t="n">
        <f aca="false">$H$2-G38</f>
        <v>-2799</v>
      </c>
      <c r="J38" s="31" t="n">
        <f aca="false">H38*(1+$H$1)^(I38/365)</f>
        <v>112809.435668218</v>
      </c>
    </row>
    <row r="39" customFormat="false" ht="15" hidden="false" customHeight="true" outlineLevel="0" collapsed="false">
      <c r="A39" s="27"/>
      <c r="B39" s="28" t="n">
        <v>48127</v>
      </c>
      <c r="C39" s="29" t="n">
        <v>253813.86</v>
      </c>
      <c r="D39" s="30" t="n">
        <f aca="false">$C$2-B39</f>
        <v>-2022</v>
      </c>
      <c r="E39" s="31" t="n">
        <f aca="false">C39*(1+$C$1)^(D39/365)</f>
        <v>109695.184935801</v>
      </c>
      <c r="G39" s="28" t="n">
        <v>49079</v>
      </c>
      <c r="H39" s="29" t="n">
        <v>357418.66</v>
      </c>
      <c r="I39" s="30" t="n">
        <f aca="false">$H$2-G39</f>
        <v>-2974</v>
      </c>
      <c r="J39" s="31" t="n">
        <f aca="false">H39*(1+$H$1)^(I39/365)</f>
        <v>104067.782246698</v>
      </c>
    </row>
    <row r="40" customFormat="false" ht="15" hidden="false" customHeight="true" outlineLevel="0" collapsed="false">
      <c r="A40" s="27"/>
      <c r="B40" s="28" t="n">
        <v>48191</v>
      </c>
      <c r="C40" s="29" t="n">
        <v>266238.43</v>
      </c>
      <c r="D40" s="30" t="n">
        <f aca="false">$C$2-B40</f>
        <v>-2086</v>
      </c>
      <c r="E40" s="31" t="n">
        <f aca="false">C40*(1+$C$1)^(D40/365)</f>
        <v>112049.864009573</v>
      </c>
      <c r="G40" s="28" t="n">
        <v>49138</v>
      </c>
      <c r="H40" s="29" t="n">
        <v>359297.32</v>
      </c>
      <c r="I40" s="30" t="n">
        <f aca="false">$H$2-G40</f>
        <v>-3033</v>
      </c>
      <c r="J40" s="31" t="n">
        <f aca="false">H40*(1+$H$1)^(I40/365)</f>
        <v>102085.091869006</v>
      </c>
    </row>
    <row r="41" customFormat="false" ht="15" hidden="false" customHeight="true" outlineLevel="0" collapsed="false">
      <c r="A41" s="27"/>
      <c r="B41" s="28" t="n">
        <v>48255</v>
      </c>
      <c r="C41" s="29" t="n">
        <v>252421.14</v>
      </c>
      <c r="D41" s="30" t="n">
        <f aca="false">$C$2-B41</f>
        <v>-2150</v>
      </c>
      <c r="E41" s="31" t="n">
        <f aca="false">C41*(1+$C$1)^(D41/365)</f>
        <v>103450.99531229</v>
      </c>
      <c r="G41" s="28" t="n">
        <v>49205</v>
      </c>
      <c r="H41" s="29" t="n">
        <v>365308.84</v>
      </c>
      <c r="I41" s="30" t="n">
        <f aca="false">$H$2-G41</f>
        <v>-3100</v>
      </c>
      <c r="J41" s="31" t="n">
        <f aca="false">H41*(1+$H$1)^(I41/365)</f>
        <v>100947.6798298</v>
      </c>
    </row>
    <row r="42" customFormat="false" ht="15" hidden="false" customHeight="true" outlineLevel="0" collapsed="false">
      <c r="A42" s="27"/>
      <c r="B42" s="28" t="n">
        <v>48351</v>
      </c>
      <c r="C42" s="29" t="n">
        <v>267945.64</v>
      </c>
      <c r="D42" s="30" t="n">
        <f aca="false">$C$2-B42</f>
        <v>-2246</v>
      </c>
      <c r="E42" s="31" t="n">
        <f aca="false">C42*(1+$C$1)^(D42/365)</f>
        <v>105525.685827384</v>
      </c>
      <c r="G42" s="28" t="n">
        <v>49304</v>
      </c>
      <c r="H42" s="29" t="n">
        <v>360718.19</v>
      </c>
      <c r="I42" s="30" t="n">
        <f aca="false">$H$2-G42</f>
        <v>-3199</v>
      </c>
      <c r="J42" s="31" t="n">
        <f aca="false">H42*(1+$H$1)^(I42/365)</f>
        <v>95667.890225823</v>
      </c>
    </row>
    <row r="43" customFormat="false" ht="15" hidden="false" customHeight="true" outlineLevel="0" collapsed="false">
      <c r="A43" s="27"/>
      <c r="B43" s="28" t="n">
        <v>48449</v>
      </c>
      <c r="C43" s="29" t="n">
        <v>289745.32</v>
      </c>
      <c r="D43" s="30" t="n">
        <f aca="false">$C$2-B43</f>
        <v>-2344</v>
      </c>
      <c r="E43" s="31" t="n">
        <f aca="false">C43*(1+$C$1)^(D43/365)</f>
        <v>109564.558756616</v>
      </c>
      <c r="G43" s="28" t="n">
        <v>49402</v>
      </c>
      <c r="H43" s="31" t="n">
        <f aca="false">$F$2</f>
        <v>230995.235916208</v>
      </c>
      <c r="I43" s="30" t="n">
        <f aca="false">$H$2-G43</f>
        <v>-3297</v>
      </c>
      <c r="J43" s="31" t="n">
        <f aca="false">H43*(1+$H$1)^(I43/365)</f>
        <v>58822.4828542081</v>
      </c>
    </row>
    <row r="44" customFormat="false" ht="15" hidden="false" customHeight="true" outlineLevel="0" collapsed="false">
      <c r="A44" s="27"/>
      <c r="B44" s="27"/>
      <c r="C44" s="27"/>
      <c r="D44" s="27"/>
      <c r="E44" s="27"/>
      <c r="G44" s="28" t="n">
        <v>49492</v>
      </c>
      <c r="H44" s="29" t="n">
        <v>359325.47</v>
      </c>
      <c r="I44" s="30" t="n">
        <f aca="false">$H$2-G44</f>
        <v>-3387</v>
      </c>
      <c r="J44" s="31" t="n">
        <f aca="false">H44*(1+$H$1)^(I44/365)</f>
        <v>88147.8982231647</v>
      </c>
    </row>
    <row r="45" customFormat="false" ht="15" hidden="false" customHeight="true" outlineLevel="0" collapsed="false">
      <c r="G45" s="28" t="n">
        <v>49586</v>
      </c>
      <c r="H45" s="29" t="n">
        <v>350042.92</v>
      </c>
      <c r="I45" s="30" t="n">
        <f aca="false">$H$2-G45</f>
        <v>-3481</v>
      </c>
      <c r="J45" s="31" t="n">
        <f aca="false">H45*(1+$H$1)^(I45/365)</f>
        <v>82586.3286565883</v>
      </c>
    </row>
    <row r="46" customFormat="false" ht="15" hidden="false" customHeight="true" outlineLevel="0" collapsed="false">
      <c r="G46" s="28" t="n">
        <v>49688</v>
      </c>
      <c r="H46" s="29" t="n">
        <v>340760.37</v>
      </c>
      <c r="I46" s="30" t="n">
        <f aca="false">$H$2-G46</f>
        <v>-3583</v>
      </c>
      <c r="J46" s="31" t="n">
        <f aca="false">H46*(1+$H$1)^(I46/365)</f>
        <v>77065.0369768874</v>
      </c>
    </row>
    <row r="47" customFormat="false" ht="15" hidden="false" customHeight="true" outlineLevel="0" collapsed="false">
      <c r="G47" s="28" t="n">
        <v>49492</v>
      </c>
      <c r="H47" s="29" t="n">
        <v>335278.46</v>
      </c>
      <c r="I47" s="30" t="n">
        <f aca="false">$H$2-G47</f>
        <v>-3387</v>
      </c>
      <c r="J47" s="31" t="n">
        <f aca="false">H47*(1+$H$1)^(I47/365)</f>
        <v>82248.8079358789</v>
      </c>
    </row>
  </sheetData>
  <mergeCells count="2">
    <mergeCell ref="B5:E5"/>
    <mergeCell ref="G5:J5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3" width="11.86"/>
    <col collapsed="false" customWidth="true" hidden="false" outlineLevel="0" max="2" min="2" style="13" width="18"/>
    <col collapsed="false" customWidth="true" hidden="false" outlineLevel="0" max="3" min="3" style="13" width="19.57"/>
    <col collapsed="false" customWidth="true" hidden="false" outlineLevel="0" max="4" min="4" style="13" width="19"/>
    <col collapsed="false" customWidth="true" hidden="false" outlineLevel="0" max="5" min="5" style="13" width="20"/>
    <col collapsed="false" customWidth="true" hidden="false" outlineLevel="0" max="6" min="6" style="13" width="16"/>
    <col collapsed="false" customWidth="true" hidden="false" outlineLevel="0" max="7" min="7" style="13" width="11.28"/>
    <col collapsed="false" customWidth="true" hidden="false" outlineLevel="0" max="8" min="8" style="13" width="18.57"/>
    <col collapsed="false" customWidth="true" hidden="false" outlineLevel="0" max="9" min="9" style="13" width="17.86"/>
    <col collapsed="false" customWidth="true" hidden="false" outlineLevel="0" max="11" min="10" style="13" width="19"/>
    <col collapsed="false" customWidth="true" hidden="false" outlineLevel="0" max="12" min="12" style="13" width="14.86"/>
    <col collapsed="false" customWidth="true" hidden="false" outlineLevel="0" max="13" min="13" style="13" width="15.72"/>
    <col collapsed="false" customWidth="false" hidden="false" outlineLevel="0" max="16384" min="14" style="13" width="9.14"/>
  </cols>
  <sheetData>
    <row r="1" customFormat="false" ht="15.75" hidden="false" customHeight="true" outlineLevel="0" collapsed="false">
      <c r="A1" s="32" t="s">
        <v>38</v>
      </c>
      <c r="B1" s="32"/>
      <c r="C1" s="32"/>
      <c r="D1" s="32"/>
      <c r="E1" s="32"/>
      <c r="G1" s="25" t="s">
        <v>39</v>
      </c>
      <c r="H1" s="25"/>
      <c r="I1" s="25"/>
      <c r="J1" s="25"/>
      <c r="K1" s="25"/>
      <c r="L1" s="25"/>
      <c r="M1" s="25"/>
    </row>
    <row r="2" customFormat="false" ht="15" hidden="false" customHeight="true" outlineLevel="0" collapsed="false">
      <c r="B2" s="33" t="s">
        <v>40</v>
      </c>
      <c r="C2" s="34" t="n">
        <v>46105</v>
      </c>
      <c r="D2" s="35" t="s">
        <v>41</v>
      </c>
      <c r="E2" s="36" t="n">
        <v>60</v>
      </c>
      <c r="H2" s="33" t="s">
        <v>40</v>
      </c>
      <c r="I2" s="34" t="n">
        <v>46105</v>
      </c>
      <c r="J2" s="35" t="s">
        <v>41</v>
      </c>
      <c r="K2" s="36" t="n">
        <v>60</v>
      </c>
    </row>
    <row r="3" customFormat="false" ht="15" hidden="false" customHeight="true" outlineLevel="0" collapsed="false">
      <c r="B3" s="37" t="s">
        <v>42</v>
      </c>
      <c r="C3" s="38" t="n">
        <v>600000</v>
      </c>
      <c r="D3" s="39" t="s">
        <v>43</v>
      </c>
      <c r="E3" s="40" t="n">
        <v>0.0115</v>
      </c>
      <c r="H3" s="37" t="s">
        <v>42</v>
      </c>
      <c r="I3" s="38" t="n">
        <v>600000</v>
      </c>
      <c r="J3" s="39" t="s">
        <v>43</v>
      </c>
      <c r="K3" s="40" t="n">
        <v>0.0115</v>
      </c>
    </row>
    <row r="4" customFormat="false" ht="15.75" hidden="false" customHeight="true" outlineLevel="0" collapsed="false"/>
    <row r="5" customFormat="false" ht="15" hidden="false" customHeight="true" outlineLevel="0" collapsed="false">
      <c r="A5" s="39" t="s">
        <v>0</v>
      </c>
      <c r="B5" s="39" t="s">
        <v>44</v>
      </c>
      <c r="C5" s="39" t="s">
        <v>45</v>
      </c>
      <c r="D5" s="39" t="s">
        <v>46</v>
      </c>
      <c r="E5" s="39" t="s">
        <v>47</v>
      </c>
      <c r="G5" s="41" t="s">
        <v>0</v>
      </c>
      <c r="H5" s="42" t="s">
        <v>44</v>
      </c>
      <c r="I5" s="42" t="s">
        <v>45</v>
      </c>
      <c r="J5" s="42" t="s">
        <v>46</v>
      </c>
      <c r="K5" s="42" t="s">
        <v>47</v>
      </c>
    </row>
    <row r="6" customFormat="false" ht="15" hidden="false" customHeight="true" outlineLevel="0" collapsed="false">
      <c r="A6" s="43"/>
      <c r="B6" s="44"/>
      <c r="C6" s="44"/>
      <c r="D6" s="44"/>
      <c r="E6" s="45"/>
      <c r="G6" s="43"/>
      <c r="H6" s="44"/>
      <c r="I6" s="44"/>
      <c r="J6" s="44"/>
      <c r="K6" s="45"/>
    </row>
    <row r="7" customFormat="false" ht="15" hidden="false" customHeight="true" outlineLevel="0" collapsed="false">
      <c r="A7" s="43"/>
      <c r="B7" s="45"/>
      <c r="C7" s="45"/>
      <c r="D7" s="45"/>
      <c r="E7" s="45"/>
      <c r="G7" s="43"/>
      <c r="H7" s="45"/>
      <c r="I7" s="45"/>
      <c r="J7" s="45"/>
      <c r="K7" s="45"/>
    </row>
    <row r="8" customFormat="false" ht="15" hidden="false" customHeight="true" outlineLevel="0" collapsed="false">
      <c r="A8" s="46" t="n">
        <f aca="false">WORKDAY.INTL(EDATE($C$2,1)-1,1,1,Feriados!$A$2:$A$1275)</f>
        <v>46136</v>
      </c>
      <c r="B8" s="38" t="n">
        <f aca="false">-PMT($E$3,$E$2,$C$3)</f>
        <v>13898.8161017983</v>
      </c>
      <c r="C8" s="38" t="n">
        <f aca="false">$C$3*$E$3</f>
        <v>6900</v>
      </c>
      <c r="D8" s="38" t="n">
        <f aca="false">B8-C8</f>
        <v>6998.81610179828</v>
      </c>
      <c r="E8" s="38" t="n">
        <f aca="false">$C$3-D8</f>
        <v>593001.183898202</v>
      </c>
      <c r="G8" s="46" t="n">
        <f aca="false">WORKDAY.INTL(EDATE($I$2,1)-1,1,1,Feriados!$A$2:$A$1275)</f>
        <v>46136</v>
      </c>
      <c r="H8" s="38" t="n">
        <f aca="false">I8+J8</f>
        <v>16900</v>
      </c>
      <c r="I8" s="38" t="n">
        <f aca="false">$I$3*$K$3</f>
        <v>6900</v>
      </c>
      <c r="J8" s="38" t="n">
        <f aca="false">$I$3/$K$2</f>
        <v>10000</v>
      </c>
      <c r="K8" s="38" t="n">
        <f aca="false">$I$3-J8</f>
        <v>590000</v>
      </c>
    </row>
    <row r="9" customFormat="false" ht="15" hidden="false" customHeight="true" outlineLevel="0" collapsed="false">
      <c r="A9" s="46" t="n">
        <f aca="false">WORKDAY.INTL(EDATE($C$2,2)-1,1,1,Feriados!$A$2:$A$1275)</f>
        <v>46167</v>
      </c>
      <c r="B9" s="38" t="n">
        <f aca="false">$B$8</f>
        <v>13898.8161017983</v>
      </c>
      <c r="C9" s="38" t="n">
        <f aca="false">E8*$E$3</f>
        <v>6819.51361482932</v>
      </c>
      <c r="D9" s="38" t="n">
        <f aca="false">B9-C9</f>
        <v>7079.30248696896</v>
      </c>
      <c r="E9" s="38" t="n">
        <f aca="false">MAX(0,E8-D9)</f>
        <v>585921.881411233</v>
      </c>
      <c r="G9" s="46" t="n">
        <f aca="false">WORKDAY.INTL(EDATE($I$2,2)-1,1,1,Feriados!$A$2:$A$1275)</f>
        <v>46167</v>
      </c>
      <c r="H9" s="38" t="n">
        <f aca="false">I9+J9</f>
        <v>16785</v>
      </c>
      <c r="I9" s="38" t="n">
        <f aca="false">K8*$K$3</f>
        <v>6785</v>
      </c>
      <c r="J9" s="38" t="n">
        <f aca="false">$J$8</f>
        <v>10000</v>
      </c>
      <c r="K9" s="38" t="n">
        <f aca="false">MAX(0,K8-J9)</f>
        <v>580000</v>
      </c>
    </row>
    <row r="10" customFormat="false" ht="15" hidden="false" customHeight="true" outlineLevel="0" collapsed="false">
      <c r="A10" s="46" t="n">
        <f aca="false">WORKDAY.INTL(EDATE($C$2,3)-1,1,1,Feriados!$A$2:$A$1275)</f>
        <v>46197</v>
      </c>
      <c r="B10" s="38" t="n">
        <f aca="false">$B$8</f>
        <v>13898.8161017983</v>
      </c>
      <c r="C10" s="38" t="n">
        <f aca="false">E9*$E$3</f>
        <v>6738.10163622918</v>
      </c>
      <c r="D10" s="38" t="n">
        <f aca="false">B10-C10</f>
        <v>7160.71446556911</v>
      </c>
      <c r="E10" s="38" t="n">
        <f aca="false">MAX(0,E9-D10)</f>
        <v>578761.166945664</v>
      </c>
      <c r="G10" s="46" t="n">
        <f aca="false">WORKDAY.INTL(EDATE($I$2,3)-1,1,1,Feriados!$A$2:$A$1275)</f>
        <v>46197</v>
      </c>
      <c r="H10" s="38" t="n">
        <f aca="false">I10+J10</f>
        <v>16670</v>
      </c>
      <c r="I10" s="38" t="n">
        <f aca="false">K9*$K$3</f>
        <v>6670</v>
      </c>
      <c r="J10" s="38" t="n">
        <f aca="false">$J$8</f>
        <v>10000</v>
      </c>
      <c r="K10" s="38" t="n">
        <f aca="false">MAX(0,K9-J10)</f>
        <v>570000</v>
      </c>
    </row>
    <row r="11" customFormat="false" ht="15" hidden="false" customHeight="true" outlineLevel="0" collapsed="false">
      <c r="A11" s="46" t="n">
        <f aca="false">WORKDAY.INTL(EDATE($C$2,4)-1,1,1,Feriados!$A$2:$A$1275)</f>
        <v>46227</v>
      </c>
      <c r="B11" s="38" t="n">
        <f aca="false">$B$8</f>
        <v>13898.8161017983</v>
      </c>
      <c r="C11" s="38" t="n">
        <f aca="false">E10*$E$3</f>
        <v>6655.75341987513</v>
      </c>
      <c r="D11" s="38" t="n">
        <f aca="false">B11-C11</f>
        <v>7243.06268192315</v>
      </c>
      <c r="E11" s="38" t="n">
        <f aca="false">MAX(0,E10-D11)</f>
        <v>571518.104263741</v>
      </c>
      <c r="G11" s="46" t="n">
        <f aca="false">WORKDAY.INTL(EDATE($I$2,4)-1,1,1,Feriados!$A$2:$A$1275)</f>
        <v>46227</v>
      </c>
      <c r="H11" s="38" t="n">
        <f aca="false">I11+J11</f>
        <v>16555</v>
      </c>
      <c r="I11" s="38" t="n">
        <f aca="false">K10*$K$3</f>
        <v>6555</v>
      </c>
      <c r="J11" s="38" t="n">
        <f aca="false">$J$8</f>
        <v>10000</v>
      </c>
      <c r="K11" s="38" t="n">
        <f aca="false">MAX(0,K10-J11)</f>
        <v>560000</v>
      </c>
    </row>
    <row r="12" customFormat="false" ht="15" hidden="false" customHeight="true" outlineLevel="0" collapsed="false">
      <c r="A12" s="46" t="n">
        <f aca="false">WORKDAY.INTL(EDATE($C$2,5)-1,1,1,Feriados!$A$2:$A$1275)</f>
        <v>46258</v>
      </c>
      <c r="B12" s="38" t="n">
        <f aca="false">$B$8</f>
        <v>13898.8161017983</v>
      </c>
      <c r="C12" s="38" t="n">
        <f aca="false">E11*$E$3</f>
        <v>6572.45819903302</v>
      </c>
      <c r="D12" s="38" t="n">
        <f aca="false">B12-C12</f>
        <v>7326.35790276527</v>
      </c>
      <c r="E12" s="38" t="n">
        <f aca="false">MAX(0,E11-D12)</f>
        <v>564191.746360975</v>
      </c>
      <c r="G12" s="46" t="n">
        <f aca="false">WORKDAY.INTL(EDATE($I$2,5)-1,1,1,Feriados!$A$2:$A$1275)</f>
        <v>46258</v>
      </c>
      <c r="H12" s="38" t="n">
        <f aca="false">I12+J12</f>
        <v>16440</v>
      </c>
      <c r="I12" s="38" t="n">
        <f aca="false">K11*$K$3</f>
        <v>6440</v>
      </c>
      <c r="J12" s="38" t="n">
        <f aca="false">$J$8</f>
        <v>10000</v>
      </c>
      <c r="K12" s="38" t="n">
        <f aca="false">MAX(0,K11-J12)</f>
        <v>550000</v>
      </c>
    </row>
    <row r="13" customFormat="false" ht="15" hidden="false" customHeight="true" outlineLevel="0" collapsed="false">
      <c r="A13" s="46" t="n">
        <f aca="false">WORKDAY.INTL(EDATE($C$2,6)-1,1,1,Feriados!$A$2:$A$1275)</f>
        <v>46289</v>
      </c>
      <c r="B13" s="38" t="n">
        <f aca="false">$B$8</f>
        <v>13898.8161017983</v>
      </c>
      <c r="C13" s="38" t="n">
        <f aca="false">E12*$E$3</f>
        <v>6488.20508315122</v>
      </c>
      <c r="D13" s="38" t="n">
        <f aca="false">B13-C13</f>
        <v>7410.61101864707</v>
      </c>
      <c r="E13" s="38" t="n">
        <f aca="false">MAX(0,E12-D13)</f>
        <v>556781.135342328</v>
      </c>
      <c r="G13" s="46" t="n">
        <f aca="false">WORKDAY.INTL(EDATE($I$2,6)-1,1,1,Feriados!$A$2:$A$1275)</f>
        <v>46289</v>
      </c>
      <c r="H13" s="38" t="n">
        <f aca="false">I13+J13</f>
        <v>16325</v>
      </c>
      <c r="I13" s="38" t="n">
        <f aca="false">K12*$K$3</f>
        <v>6325</v>
      </c>
      <c r="J13" s="38" t="n">
        <f aca="false">$J$8</f>
        <v>10000</v>
      </c>
      <c r="K13" s="38" t="n">
        <f aca="false">MAX(0,K12-J13)</f>
        <v>540000</v>
      </c>
    </row>
    <row r="14" customFormat="false" ht="15" hidden="false" customHeight="true" outlineLevel="0" collapsed="false">
      <c r="A14" s="46" t="n">
        <f aca="false">WORKDAY.INTL(EDATE($C$2,7)-1,1,1,Feriados!$A$2:$A$1275)</f>
        <v>46321</v>
      </c>
      <c r="B14" s="38" t="n">
        <f aca="false">$B$8</f>
        <v>13898.8161017983</v>
      </c>
      <c r="C14" s="38" t="n">
        <f aca="false">E13*$E$3</f>
        <v>6402.98305643677</v>
      </c>
      <c r="D14" s="38" t="n">
        <f aca="false">B14-C14</f>
        <v>7495.83304536151</v>
      </c>
      <c r="E14" s="38" t="n">
        <f aca="false">MAX(0,E13-D14)</f>
        <v>549285.302296967</v>
      </c>
      <c r="G14" s="46" t="n">
        <f aca="false">WORKDAY.INTL(EDATE($I$2,7)-1,1,1,Feriados!$A$2:$A$1275)</f>
        <v>46321</v>
      </c>
      <c r="H14" s="38" t="n">
        <f aca="false">I14+J14</f>
        <v>16210</v>
      </c>
      <c r="I14" s="38" t="n">
        <f aca="false">K13*$K$3</f>
        <v>6210</v>
      </c>
      <c r="J14" s="38" t="n">
        <f aca="false">$J$8</f>
        <v>10000</v>
      </c>
      <c r="K14" s="38" t="n">
        <f aca="false">MAX(0,K13-J14)</f>
        <v>530000</v>
      </c>
    </row>
    <row r="15" customFormat="false" ht="15" hidden="false" customHeight="true" outlineLevel="0" collapsed="false">
      <c r="A15" s="46" t="n">
        <f aca="false">WORKDAY.INTL(EDATE($C$2,8)-1,1,1,Feriados!$A$2:$A$1275)</f>
        <v>46350</v>
      </c>
      <c r="B15" s="38" t="n">
        <f aca="false">$B$8</f>
        <v>13898.8161017983</v>
      </c>
      <c r="C15" s="38" t="n">
        <f aca="false">E14*$E$3</f>
        <v>6316.78097641512</v>
      </c>
      <c r="D15" s="38" t="n">
        <f aca="false">B15-C15</f>
        <v>7582.03512538317</v>
      </c>
      <c r="E15" s="38" t="n">
        <f aca="false">MAX(0,E14-D15)</f>
        <v>541703.267171583</v>
      </c>
      <c r="G15" s="46" t="n">
        <f aca="false">WORKDAY.INTL(EDATE($I$2,8)-1,1,1,Feriados!$A$2:$A$1275)</f>
        <v>46350</v>
      </c>
      <c r="H15" s="38" t="n">
        <f aca="false">I15+J15</f>
        <v>16095</v>
      </c>
      <c r="I15" s="38" t="n">
        <f aca="false">K14*$K$3</f>
        <v>6095</v>
      </c>
      <c r="J15" s="38" t="n">
        <f aca="false">$J$8</f>
        <v>10000</v>
      </c>
      <c r="K15" s="38" t="n">
        <f aca="false">MAX(0,K14-J15)</f>
        <v>520000</v>
      </c>
    </row>
    <row r="16" customFormat="false" ht="15" hidden="false" customHeight="true" outlineLevel="0" collapsed="false">
      <c r="A16" s="46" t="n">
        <f aca="false">WORKDAY.INTL(EDATE($C$2,9)-1,1,1,Feriados!$A$2:$A$1275)</f>
        <v>46380</v>
      </c>
      <c r="B16" s="38" t="n">
        <f aca="false">$B$8</f>
        <v>13898.8161017983</v>
      </c>
      <c r="C16" s="38" t="n">
        <f aca="false">E15*$E$3</f>
        <v>6229.58757247321</v>
      </c>
      <c r="D16" s="38" t="n">
        <f aca="false">B16-C16</f>
        <v>7669.22852932507</v>
      </c>
      <c r="E16" s="38" t="n">
        <f aca="false">MAX(0,E15-D16)</f>
        <v>534034.038642258</v>
      </c>
      <c r="G16" s="46" t="n">
        <f aca="false">WORKDAY.INTL(EDATE($I$2,9)-1,1,1,Feriados!$A$2:$A$1275)</f>
        <v>46380</v>
      </c>
      <c r="H16" s="38" t="n">
        <f aca="false">I16+J16</f>
        <v>15980</v>
      </c>
      <c r="I16" s="38" t="n">
        <f aca="false">K15*$K$3</f>
        <v>5980</v>
      </c>
      <c r="J16" s="38" t="n">
        <f aca="false">$J$8</f>
        <v>10000</v>
      </c>
      <c r="K16" s="38" t="n">
        <f aca="false">MAX(0,K15-J16)</f>
        <v>510000</v>
      </c>
    </row>
    <row r="17" customFormat="false" ht="15" hidden="false" customHeight="true" outlineLevel="0" collapsed="false">
      <c r="A17" s="46" t="n">
        <f aca="false">WORKDAY.INTL(EDATE($C$2,10)-1,1,1,Feriados!$A$2:$A$1275)</f>
        <v>46412</v>
      </c>
      <c r="B17" s="38" t="n">
        <f aca="false">$B$8</f>
        <v>13898.8161017983</v>
      </c>
      <c r="C17" s="38" t="n">
        <f aca="false">E16*$E$3</f>
        <v>6141.39144438597</v>
      </c>
      <c r="D17" s="38" t="n">
        <f aca="false">B17-C17</f>
        <v>7757.42465741231</v>
      </c>
      <c r="E17" s="38" t="n">
        <f aca="false">MAX(0,E16-D17)</f>
        <v>526276.613984846</v>
      </c>
      <c r="G17" s="46" t="n">
        <f aca="false">WORKDAY.INTL(EDATE($I$2,10)-1,1,1,Feriados!$A$2:$A$1275)</f>
        <v>46412</v>
      </c>
      <c r="H17" s="38" t="n">
        <f aca="false">I17+J17</f>
        <v>15865</v>
      </c>
      <c r="I17" s="38" t="n">
        <f aca="false">K16*$K$3</f>
        <v>5865</v>
      </c>
      <c r="J17" s="38" t="n">
        <f aca="false">$J$8</f>
        <v>10000</v>
      </c>
      <c r="K17" s="38" t="n">
        <f aca="false">MAX(0,K16-J17)</f>
        <v>500000</v>
      </c>
    </row>
    <row r="18" customFormat="false" ht="15" hidden="false" customHeight="true" outlineLevel="0" collapsed="false">
      <c r="A18" s="46" t="n">
        <f aca="false">WORKDAY.INTL(EDATE($C$2,11)-1,1,1,Feriados!$A$2:$A$1275)</f>
        <v>46442</v>
      </c>
      <c r="B18" s="38" t="n">
        <f aca="false">$B$8</f>
        <v>13898.8161017983</v>
      </c>
      <c r="C18" s="38" t="n">
        <f aca="false">E17*$E$3</f>
        <v>6052.18106082573</v>
      </c>
      <c r="D18" s="38" t="n">
        <f aca="false">B18-C18</f>
        <v>7846.63504097255</v>
      </c>
      <c r="E18" s="38" t="n">
        <f aca="false">MAX(0,E17-D18)</f>
        <v>518429.978943873</v>
      </c>
      <c r="G18" s="46" t="n">
        <f aca="false">WORKDAY.INTL(EDATE($I$2,11)-1,1,1,Feriados!$A$2:$A$1275)</f>
        <v>46442</v>
      </c>
      <c r="H18" s="38" t="n">
        <f aca="false">I18+J18</f>
        <v>15750</v>
      </c>
      <c r="I18" s="38" t="n">
        <f aca="false">K17*$K$3</f>
        <v>5750</v>
      </c>
      <c r="J18" s="38" t="n">
        <f aca="false">$J$8</f>
        <v>10000</v>
      </c>
      <c r="K18" s="38" t="n">
        <f aca="false">MAX(0,K17-J18)</f>
        <v>490000</v>
      </c>
    </row>
    <row r="19" customFormat="false" ht="15" hidden="false" customHeight="true" outlineLevel="0" collapsed="false">
      <c r="A19" s="46" t="n">
        <f aca="false">WORKDAY.INTL(EDATE($C$2,12)-1,1,1,Feriados!$A$2:$A$1275)</f>
        <v>46470</v>
      </c>
      <c r="B19" s="38" t="n">
        <f aca="false">$B$8</f>
        <v>13898.8161017983</v>
      </c>
      <c r="C19" s="38" t="n">
        <f aca="false">E18*$E$3</f>
        <v>5961.94475785454</v>
      </c>
      <c r="D19" s="38" t="n">
        <f aca="false">B19-C19</f>
        <v>7936.87134394374</v>
      </c>
      <c r="E19" s="38" t="n">
        <f aca="false">MAX(0,E18-D19)</f>
        <v>510493.10759993</v>
      </c>
      <c r="G19" s="46" t="n">
        <f aca="false">WORKDAY.INTL(EDATE($I$2,12)-1,1,1,Feriados!$A$2:$A$1275)</f>
        <v>46470</v>
      </c>
      <c r="H19" s="38" t="n">
        <f aca="false">I19+J19</f>
        <v>15635</v>
      </c>
      <c r="I19" s="38" t="n">
        <f aca="false">K18*$K$3</f>
        <v>5635</v>
      </c>
      <c r="J19" s="38" t="n">
        <f aca="false">$J$8</f>
        <v>10000</v>
      </c>
      <c r="K19" s="38" t="n">
        <f aca="false">MAX(0,K18-J19)</f>
        <v>480000</v>
      </c>
    </row>
    <row r="20" customFormat="false" ht="15" hidden="false" customHeight="true" outlineLevel="0" collapsed="false">
      <c r="A20" s="46" t="n">
        <f aca="false">WORKDAY.INTL(EDATE($C$2,13)-1,1,1,Feriados!$A$2:$A$1275)</f>
        <v>46503</v>
      </c>
      <c r="B20" s="38" t="n">
        <f aca="false">$B$8</f>
        <v>13898.8161017983</v>
      </c>
      <c r="C20" s="38" t="n">
        <f aca="false">E19*$E$3</f>
        <v>5870.67073739919</v>
      </c>
      <c r="D20" s="38" t="n">
        <f aca="false">B20-C20</f>
        <v>8028.14536439909</v>
      </c>
      <c r="E20" s="38" t="n">
        <f aca="false">MAX(0,E19-D20)</f>
        <v>502464.962235531</v>
      </c>
      <c r="G20" s="46" t="n">
        <f aca="false">WORKDAY.INTL(EDATE($I$2,13)-1,1,1,Feriados!$A$2:$A$1275)</f>
        <v>46503</v>
      </c>
      <c r="H20" s="38" t="n">
        <f aca="false">I20+J20</f>
        <v>15520</v>
      </c>
      <c r="I20" s="38" t="n">
        <f aca="false">K19*$K$3</f>
        <v>5520</v>
      </c>
      <c r="J20" s="38" t="n">
        <f aca="false">$J$8</f>
        <v>10000</v>
      </c>
      <c r="K20" s="38" t="n">
        <f aca="false">MAX(0,K19-J20)</f>
        <v>470000</v>
      </c>
    </row>
    <row r="21" customFormat="false" ht="15" hidden="false" customHeight="true" outlineLevel="0" collapsed="false">
      <c r="A21" s="46" t="n">
        <f aca="false">WORKDAY.INTL(EDATE($C$2,14)-1,1,1,Feriados!$A$2:$A$1275)</f>
        <v>46531</v>
      </c>
      <c r="B21" s="38" t="n">
        <f aca="false">$B$8</f>
        <v>13898.8161017983</v>
      </c>
      <c r="C21" s="38" t="n">
        <f aca="false">E20*$E$3</f>
        <v>5778.3470657086</v>
      </c>
      <c r="D21" s="38" t="n">
        <f aca="false">B21-C21</f>
        <v>8120.46903608968</v>
      </c>
      <c r="E21" s="38" t="n">
        <f aca="false">MAX(0,E20-D21)</f>
        <v>494344.493199441</v>
      </c>
      <c r="G21" s="46" t="n">
        <f aca="false">WORKDAY.INTL(EDATE($I$2,14)-1,1,1,Feriados!$A$2:$A$1275)</f>
        <v>46531</v>
      </c>
      <c r="H21" s="38" t="n">
        <f aca="false">I21+J21</f>
        <v>15405</v>
      </c>
      <c r="I21" s="38" t="n">
        <f aca="false">K20*$K$3</f>
        <v>5405</v>
      </c>
      <c r="J21" s="38" t="n">
        <f aca="false">$J$8</f>
        <v>10000</v>
      </c>
      <c r="K21" s="38" t="n">
        <f aca="false">MAX(0,K20-J21)</f>
        <v>460000</v>
      </c>
    </row>
    <row r="22" customFormat="false" ht="15" hidden="false" customHeight="true" outlineLevel="0" collapsed="false">
      <c r="A22" s="46" t="n">
        <f aca="false">WORKDAY.INTL(EDATE($C$2,15)-1,1,1,Feriados!$A$2:$A$1275)</f>
        <v>46562</v>
      </c>
      <c r="B22" s="38" t="n">
        <f aca="false">$B$8</f>
        <v>13898.8161017983</v>
      </c>
      <c r="C22" s="38" t="n">
        <f aca="false">E21*$E$3</f>
        <v>5684.96167179357</v>
      </c>
      <c r="D22" s="38" t="n">
        <f aca="false">B22-C22</f>
        <v>8213.85443000471</v>
      </c>
      <c r="E22" s="38" t="n">
        <f aca="false">MAX(0,E21-D22)</f>
        <v>486130.638769436</v>
      </c>
      <c r="G22" s="46" t="n">
        <f aca="false">WORKDAY.INTL(EDATE($I$2,15)-1,1,1,Feriados!$A$2:$A$1275)</f>
        <v>46562</v>
      </c>
      <c r="H22" s="38" t="n">
        <f aca="false">I22+J22</f>
        <v>15290</v>
      </c>
      <c r="I22" s="38" t="n">
        <f aca="false">K21*$K$3</f>
        <v>5290</v>
      </c>
      <c r="J22" s="38" t="n">
        <f aca="false">$J$8</f>
        <v>10000</v>
      </c>
      <c r="K22" s="38" t="n">
        <f aca="false">MAX(0,K21-J22)</f>
        <v>450000</v>
      </c>
    </row>
    <row r="23" customFormat="false" ht="15" hidden="false" customHeight="true" outlineLevel="0" collapsed="false">
      <c r="A23" s="46" t="n">
        <f aca="false">WORKDAY.INTL(EDATE($C$2,16)-1,1,1,Feriados!$A$2:$A$1275)</f>
        <v>46594</v>
      </c>
      <c r="B23" s="38" t="n">
        <f aca="false">$B$8</f>
        <v>13898.8161017983</v>
      </c>
      <c r="C23" s="38" t="n">
        <f aca="false">E22*$E$3</f>
        <v>5590.50234584852</v>
      </c>
      <c r="D23" s="38" t="n">
        <f aca="false">B23-C23</f>
        <v>8308.31375594977</v>
      </c>
      <c r="E23" s="38" t="n">
        <f aca="false">MAX(0,E22-D23)</f>
        <v>477822.325013486</v>
      </c>
      <c r="G23" s="46" t="n">
        <f aca="false">WORKDAY.INTL(EDATE($I$2,16)-1,1,1,Feriados!$A$2:$A$1275)</f>
        <v>46594</v>
      </c>
      <c r="H23" s="38" t="n">
        <f aca="false">I23+J23</f>
        <v>15175</v>
      </c>
      <c r="I23" s="38" t="n">
        <f aca="false">K22*$K$3</f>
        <v>5175</v>
      </c>
      <c r="J23" s="38" t="n">
        <f aca="false">$J$8</f>
        <v>10000</v>
      </c>
      <c r="K23" s="38" t="n">
        <f aca="false">MAX(0,K22-J23)</f>
        <v>440000</v>
      </c>
    </row>
    <row r="24" customFormat="false" ht="15" hidden="false" customHeight="true" outlineLevel="0" collapsed="false">
      <c r="A24" s="46" t="n">
        <f aca="false">WORKDAY.INTL(EDATE($C$2,17)-1,1,1,Feriados!$A$2:$A$1275)</f>
        <v>46623</v>
      </c>
      <c r="B24" s="38" t="n">
        <f aca="false">$B$8</f>
        <v>13898.8161017983</v>
      </c>
      <c r="C24" s="38" t="n">
        <f aca="false">E23*$E$3</f>
        <v>5494.95673765509</v>
      </c>
      <c r="D24" s="38" t="n">
        <f aca="false">B24-C24</f>
        <v>8403.85936414319</v>
      </c>
      <c r="E24" s="38" t="n">
        <f aca="false">MAX(0,E23-D24)</f>
        <v>469418.465649343</v>
      </c>
      <c r="G24" s="46" t="n">
        <f aca="false">WORKDAY.INTL(EDATE($I$2,17)-1,1,1,Feriados!$A$2:$A$1275)</f>
        <v>46623</v>
      </c>
      <c r="H24" s="38" t="n">
        <f aca="false">I24+J24</f>
        <v>15060</v>
      </c>
      <c r="I24" s="38" t="n">
        <f aca="false">K23*$K$3</f>
        <v>5060</v>
      </c>
      <c r="J24" s="38" t="n">
        <f aca="false">$J$8</f>
        <v>10000</v>
      </c>
      <c r="K24" s="38" t="n">
        <f aca="false">MAX(0,K23-J24)</f>
        <v>430000</v>
      </c>
    </row>
    <row r="25" customFormat="false" ht="15" hidden="false" customHeight="true" outlineLevel="0" collapsed="false">
      <c r="A25" s="46" t="n">
        <f aca="false">WORKDAY.INTL(EDATE($C$2,18)-1,1,1,Feriados!$A$2:$A$1275)</f>
        <v>46654</v>
      </c>
      <c r="B25" s="38" t="n">
        <f aca="false">$B$8</f>
        <v>13898.8161017983</v>
      </c>
      <c r="C25" s="38" t="n">
        <f aca="false">E24*$E$3</f>
        <v>5398.31235496745</v>
      </c>
      <c r="D25" s="38" t="n">
        <f aca="false">B25-C25</f>
        <v>8500.50374683084</v>
      </c>
      <c r="E25" s="38" t="n">
        <f aca="false">MAX(0,E24-D25)</f>
        <v>460917.961902512</v>
      </c>
      <c r="G25" s="46" t="n">
        <f aca="false">WORKDAY.INTL(EDATE($I$2,18)-1,1,1,Feriados!$A$2:$A$1275)</f>
        <v>46654</v>
      </c>
      <c r="H25" s="38" t="n">
        <f aca="false">I25+J25</f>
        <v>14945</v>
      </c>
      <c r="I25" s="38" t="n">
        <f aca="false">K24*$K$3</f>
        <v>4945</v>
      </c>
      <c r="J25" s="38" t="n">
        <f aca="false">$J$8</f>
        <v>10000</v>
      </c>
      <c r="K25" s="38" t="n">
        <f aca="false">MAX(0,K24-J25)</f>
        <v>420000</v>
      </c>
    </row>
    <row r="26" customFormat="false" ht="15" hidden="false" customHeight="true" outlineLevel="0" collapsed="false">
      <c r="A26" s="46" t="n">
        <f aca="false">WORKDAY.INTL(EDATE($C$2,19)-1,1,1,Feriados!$A$2:$A$1275)</f>
        <v>46685</v>
      </c>
      <c r="B26" s="38" t="n">
        <f aca="false">$B$8</f>
        <v>13898.8161017983</v>
      </c>
      <c r="C26" s="38" t="n">
        <f aca="false">E25*$E$3</f>
        <v>5300.55656187889</v>
      </c>
      <c r="D26" s="38" t="n">
        <f aca="false">B26-C26</f>
        <v>8598.25953991939</v>
      </c>
      <c r="E26" s="38" t="n">
        <f aca="false">MAX(0,E25-D26)</f>
        <v>452319.702362593</v>
      </c>
      <c r="G26" s="46" t="n">
        <f aca="false">WORKDAY.INTL(EDATE($I$2,19)-1,1,1,Feriados!$A$2:$A$1275)</f>
        <v>46685</v>
      </c>
      <c r="H26" s="38" t="n">
        <f aca="false">I26+J26</f>
        <v>14830</v>
      </c>
      <c r="I26" s="38" t="n">
        <f aca="false">K25*$K$3</f>
        <v>4830</v>
      </c>
      <c r="J26" s="38" t="n">
        <f aca="false">$J$8</f>
        <v>10000</v>
      </c>
      <c r="K26" s="38" t="n">
        <f aca="false">MAX(0,K25-J26)</f>
        <v>410000</v>
      </c>
    </row>
    <row r="27" customFormat="false" ht="15" hidden="false" customHeight="true" outlineLevel="0" collapsed="false">
      <c r="A27" s="46" t="n">
        <f aca="false">WORKDAY.INTL(EDATE($C$2,20)-1,1,1,Feriados!$A$2:$A$1275)</f>
        <v>46715</v>
      </c>
      <c r="B27" s="38" t="n">
        <f aca="false">$B$8</f>
        <v>13898.8161017983</v>
      </c>
      <c r="C27" s="38" t="n">
        <f aca="false">E26*$E$3</f>
        <v>5201.67657716982</v>
      </c>
      <c r="D27" s="38" t="n">
        <f aca="false">B27-C27</f>
        <v>8697.13952462846</v>
      </c>
      <c r="E27" s="38" t="n">
        <f aca="false">MAX(0,E26-D27)</f>
        <v>443622.562837965</v>
      </c>
      <c r="G27" s="46" t="n">
        <f aca="false">WORKDAY.INTL(EDATE($I$2,20)-1,1,1,Feriados!$A$2:$A$1275)</f>
        <v>46715</v>
      </c>
      <c r="H27" s="38" t="n">
        <f aca="false">I27+J27</f>
        <v>14715</v>
      </c>
      <c r="I27" s="38" t="n">
        <f aca="false">K26*$K$3</f>
        <v>4715</v>
      </c>
      <c r="J27" s="38" t="n">
        <f aca="false">$J$8</f>
        <v>10000</v>
      </c>
      <c r="K27" s="38" t="n">
        <f aca="false">MAX(0,K26-J27)</f>
        <v>400000</v>
      </c>
    </row>
    <row r="28" customFormat="false" ht="15" hidden="false" customHeight="true" outlineLevel="0" collapsed="false">
      <c r="A28" s="46" t="n">
        <f aca="false">WORKDAY.INTL(EDATE($C$2,21)-1,1,1,Feriados!$A$2:$A$1275)</f>
        <v>46745</v>
      </c>
      <c r="B28" s="38" t="n">
        <f aca="false">$B$8</f>
        <v>13898.8161017983</v>
      </c>
      <c r="C28" s="38" t="n">
        <f aca="false">E27*$E$3</f>
        <v>5101.65947263659</v>
      </c>
      <c r="D28" s="38" t="n">
        <f aca="false">B28-C28</f>
        <v>8797.15662916169</v>
      </c>
      <c r="E28" s="38" t="n">
        <f aca="false">MAX(0,E27-D28)</f>
        <v>434825.406208803</v>
      </c>
      <c r="G28" s="46" t="n">
        <f aca="false">WORKDAY.INTL(EDATE($I$2,21)-1,1,1,Feriados!$A$2:$A$1275)</f>
        <v>46745</v>
      </c>
      <c r="H28" s="38" t="n">
        <f aca="false">I28+J28</f>
        <v>14600</v>
      </c>
      <c r="I28" s="38" t="n">
        <f aca="false">K27*$K$3</f>
        <v>4600</v>
      </c>
      <c r="J28" s="38" t="n">
        <f aca="false">$J$8</f>
        <v>10000</v>
      </c>
      <c r="K28" s="38" t="n">
        <f aca="false">MAX(0,K27-J28)</f>
        <v>390000</v>
      </c>
    </row>
    <row r="29" customFormat="false" ht="15" hidden="false" customHeight="true" outlineLevel="0" collapsed="false">
      <c r="A29" s="46" t="n">
        <f aca="false">WORKDAY.INTL(EDATE($C$2,22)-1,1,1,Feriados!$A$2:$A$1275)</f>
        <v>46776</v>
      </c>
      <c r="B29" s="38" t="n">
        <f aca="false">$B$8</f>
        <v>13898.8161017983</v>
      </c>
      <c r="C29" s="38" t="n">
        <f aca="false">E28*$E$3</f>
        <v>5000.49217140123</v>
      </c>
      <c r="D29" s="38" t="n">
        <f aca="false">B29-C29</f>
        <v>8898.32393039705</v>
      </c>
      <c r="E29" s="38" t="n">
        <f aca="false">MAX(0,E28-D29)</f>
        <v>425927.082278406</v>
      </c>
      <c r="G29" s="46" t="n">
        <f aca="false">WORKDAY.INTL(EDATE($I$2,22)-1,1,1,Feriados!$A$2:$A$1275)</f>
        <v>46776</v>
      </c>
      <c r="H29" s="38" t="n">
        <f aca="false">I29+J29</f>
        <v>14485</v>
      </c>
      <c r="I29" s="38" t="n">
        <f aca="false">K28*$K$3</f>
        <v>4485</v>
      </c>
      <c r="J29" s="38" t="n">
        <f aca="false">$J$8</f>
        <v>10000</v>
      </c>
      <c r="K29" s="38" t="n">
        <f aca="false">MAX(0,K28-J29)</f>
        <v>380000</v>
      </c>
    </row>
    <row r="30" customFormat="false" ht="15" hidden="false" customHeight="true" outlineLevel="0" collapsed="false">
      <c r="A30" s="46" t="n">
        <f aca="false">WORKDAY.INTL(EDATE($C$2,23)-1,1,1,Feriados!$A$2:$A$1275)</f>
        <v>46807</v>
      </c>
      <c r="B30" s="38" t="n">
        <f aca="false">$B$8</f>
        <v>13898.8161017983</v>
      </c>
      <c r="C30" s="38" t="n">
        <f aca="false">E29*$E$3</f>
        <v>4898.16144620167</v>
      </c>
      <c r="D30" s="38" t="n">
        <f aca="false">B30-C30</f>
        <v>9000.65465559662</v>
      </c>
      <c r="E30" s="38" t="n">
        <f aca="false">MAX(0,E29-D30)</f>
        <v>416926.427622809</v>
      </c>
      <c r="G30" s="46" t="n">
        <f aca="false">WORKDAY.INTL(EDATE($I$2,23)-1,1,1,Feriados!$A$2:$A$1275)</f>
        <v>46807</v>
      </c>
      <c r="H30" s="38" t="n">
        <f aca="false">I30+J30</f>
        <v>14370</v>
      </c>
      <c r="I30" s="38" t="n">
        <f aca="false">K29*$K$3</f>
        <v>4370</v>
      </c>
      <c r="J30" s="38" t="n">
        <f aca="false">$J$8</f>
        <v>10000</v>
      </c>
      <c r="K30" s="38" t="n">
        <f aca="false">MAX(0,K29-J30)</f>
        <v>370000</v>
      </c>
    </row>
    <row r="31" customFormat="false" ht="15" hidden="false" customHeight="true" outlineLevel="0" collapsed="false">
      <c r="A31" s="46" t="n">
        <f aca="false">WORKDAY.INTL(EDATE($C$2,24)-1,1,1,Feriados!$A$2:$A$1275)</f>
        <v>46836</v>
      </c>
      <c r="B31" s="38" t="n">
        <f aca="false">$B$8</f>
        <v>13898.8161017983</v>
      </c>
      <c r="C31" s="38" t="n">
        <f aca="false">E30*$E$3</f>
        <v>4794.65391766231</v>
      </c>
      <c r="D31" s="38" t="n">
        <f aca="false">B31-C31</f>
        <v>9104.16218413598</v>
      </c>
      <c r="E31" s="38" t="n">
        <f aca="false">MAX(0,E30-D31)</f>
        <v>407822.265438673</v>
      </c>
      <c r="G31" s="46" t="n">
        <f aca="false">WORKDAY.INTL(EDATE($I$2,24)-1,1,1,Feriados!$A$2:$A$1275)</f>
        <v>46836</v>
      </c>
      <c r="H31" s="38" t="n">
        <f aca="false">I31+J31</f>
        <v>14255</v>
      </c>
      <c r="I31" s="38" t="n">
        <f aca="false">K30*$K$3</f>
        <v>4255</v>
      </c>
      <c r="J31" s="38" t="n">
        <f aca="false">$J$8</f>
        <v>10000</v>
      </c>
      <c r="K31" s="38" t="n">
        <f aca="false">MAX(0,K30-J31)</f>
        <v>360000</v>
      </c>
    </row>
    <row r="32" customFormat="false" ht="15" hidden="false" customHeight="true" outlineLevel="0" collapsed="false">
      <c r="A32" s="46" t="n">
        <f aca="false">WORKDAY.INTL(EDATE($C$2,25)-1,1,1,Feriados!$A$2:$A$1275)</f>
        <v>46867</v>
      </c>
      <c r="B32" s="38" t="n">
        <f aca="false">$B$8</f>
        <v>13898.8161017983</v>
      </c>
      <c r="C32" s="38" t="n">
        <f aca="false">E31*$E$3</f>
        <v>4689.95605254474</v>
      </c>
      <c r="D32" s="38" t="n">
        <f aca="false">B32-C32</f>
        <v>9208.86004925354</v>
      </c>
      <c r="E32" s="38" t="n">
        <f aca="false">MAX(0,E31-D32)</f>
        <v>398613.40538942</v>
      </c>
      <c r="G32" s="46" t="n">
        <f aca="false">WORKDAY.INTL(EDATE($I$2,25)-1,1,1,Feriados!$A$2:$A$1275)</f>
        <v>46867</v>
      </c>
      <c r="H32" s="38" t="n">
        <f aca="false">I32+J32</f>
        <v>14140</v>
      </c>
      <c r="I32" s="38" t="n">
        <f aca="false">K31*$K$3</f>
        <v>4140</v>
      </c>
      <c r="J32" s="38" t="n">
        <f aca="false">$J$8</f>
        <v>10000</v>
      </c>
      <c r="K32" s="38" t="n">
        <f aca="false">MAX(0,K31-J32)</f>
        <v>350000</v>
      </c>
    </row>
    <row r="33" customFormat="false" ht="15" hidden="false" customHeight="true" outlineLevel="0" collapsed="false">
      <c r="A33" s="46" t="n">
        <f aca="false">WORKDAY.INTL(EDATE($C$2,26)-1,1,1,Feriados!$A$2:$A$1275)</f>
        <v>46897</v>
      </c>
      <c r="B33" s="38" t="n">
        <f aca="false">$B$8</f>
        <v>13898.8161017983</v>
      </c>
      <c r="C33" s="38" t="n">
        <f aca="false">E32*$E$3</f>
        <v>4584.05416197833</v>
      </c>
      <c r="D33" s="38" t="n">
        <f aca="false">B33-C33</f>
        <v>9314.76193981996</v>
      </c>
      <c r="E33" s="38" t="n">
        <f aca="false">MAX(0,E32-D33)</f>
        <v>389298.6434496</v>
      </c>
      <c r="G33" s="46" t="n">
        <f aca="false">WORKDAY.INTL(EDATE($I$2,26)-1,1,1,Feriados!$A$2:$A$1275)</f>
        <v>46897</v>
      </c>
      <c r="H33" s="38" t="n">
        <f aca="false">I33+J33</f>
        <v>14025</v>
      </c>
      <c r="I33" s="38" t="n">
        <f aca="false">K32*$K$3</f>
        <v>4025</v>
      </c>
      <c r="J33" s="38" t="n">
        <f aca="false">$J$8</f>
        <v>10000</v>
      </c>
      <c r="K33" s="38" t="n">
        <f aca="false">MAX(0,K32-J33)</f>
        <v>340000</v>
      </c>
    </row>
    <row r="34" customFormat="false" ht="15" hidden="false" customHeight="true" outlineLevel="0" collapsed="false">
      <c r="A34" s="46" t="n">
        <f aca="false">WORKDAY.INTL(EDATE($C$2,27)-1,1,1,Feriados!$A$2:$A$1275)</f>
        <v>46930</v>
      </c>
      <c r="B34" s="38" t="n">
        <f aca="false">$B$8</f>
        <v>13898.8161017983</v>
      </c>
      <c r="C34" s="38" t="n">
        <f aca="false">E33*$E$3</f>
        <v>4476.9343996704</v>
      </c>
      <c r="D34" s="38" t="n">
        <f aca="false">B34-C34</f>
        <v>9421.88170212789</v>
      </c>
      <c r="E34" s="38" t="n">
        <f aca="false">MAX(0,E33-D34)</f>
        <v>379876.761747472</v>
      </c>
      <c r="G34" s="46" t="n">
        <f aca="false">WORKDAY.INTL(EDATE($I$2,27)-1,1,1,Feriados!$A$2:$A$1275)</f>
        <v>46930</v>
      </c>
      <c r="H34" s="38" t="n">
        <f aca="false">I34+J34</f>
        <v>13910</v>
      </c>
      <c r="I34" s="38" t="n">
        <f aca="false">K33*$K$3</f>
        <v>3910</v>
      </c>
      <c r="J34" s="38" t="n">
        <f aca="false">$J$8</f>
        <v>10000</v>
      </c>
      <c r="K34" s="38" t="n">
        <f aca="false">MAX(0,K33-J34)</f>
        <v>330000</v>
      </c>
    </row>
    <row r="35" customFormat="false" ht="15" hidden="false" customHeight="true" outlineLevel="0" collapsed="false">
      <c r="A35" s="46" t="n">
        <f aca="false">WORKDAY.INTL(EDATE($C$2,28)-1,1,1,Feriados!$A$2:$A$1275)</f>
        <v>46958</v>
      </c>
      <c r="B35" s="38" t="n">
        <f aca="false">$B$8</f>
        <v>13898.8161017983</v>
      </c>
      <c r="C35" s="38" t="n">
        <f aca="false">E34*$E$3</f>
        <v>4368.58276009593</v>
      </c>
      <c r="D35" s="38" t="n">
        <f aca="false">B35-C35</f>
        <v>9530.23334170236</v>
      </c>
      <c r="E35" s="38" t="n">
        <f aca="false">MAX(0,E34-D35)</f>
        <v>370346.528405769</v>
      </c>
      <c r="G35" s="46" t="n">
        <f aca="false">WORKDAY.INTL(EDATE($I$2,28)-1,1,1,Feriados!$A$2:$A$1275)</f>
        <v>46958</v>
      </c>
      <c r="H35" s="38" t="n">
        <f aca="false">I35+J35</f>
        <v>13795</v>
      </c>
      <c r="I35" s="38" t="n">
        <f aca="false">K34*$K$3</f>
        <v>3795</v>
      </c>
      <c r="J35" s="38" t="n">
        <f aca="false">$J$8</f>
        <v>10000</v>
      </c>
      <c r="K35" s="38" t="n">
        <f aca="false">MAX(0,K34-J35)</f>
        <v>320000</v>
      </c>
    </row>
    <row r="36" customFormat="false" ht="15" hidden="false" customHeight="true" outlineLevel="0" collapsed="false">
      <c r="A36" s="46" t="n">
        <f aca="false">WORKDAY.INTL(EDATE($C$2,29)-1,1,1,Feriados!$A$2:$A$1275)</f>
        <v>46989</v>
      </c>
      <c r="B36" s="38" t="n">
        <f aca="false">$B$8</f>
        <v>13898.8161017983</v>
      </c>
      <c r="C36" s="38" t="n">
        <f aca="false">E35*$E$3</f>
        <v>4258.98507666635</v>
      </c>
      <c r="D36" s="38" t="n">
        <f aca="false">B36-C36</f>
        <v>9639.83102513193</v>
      </c>
      <c r="E36" s="38" t="n">
        <f aca="false">MAX(0,E35-D36)</f>
        <v>360706.697380638</v>
      </c>
      <c r="G36" s="46" t="n">
        <f aca="false">WORKDAY.INTL(EDATE($I$2,29)-1,1,1,Feriados!$A$2:$A$1275)</f>
        <v>46989</v>
      </c>
      <c r="H36" s="38" t="n">
        <f aca="false">I36+J36</f>
        <v>13680</v>
      </c>
      <c r="I36" s="38" t="n">
        <f aca="false">K35*$K$3</f>
        <v>3680</v>
      </c>
      <c r="J36" s="38" t="n">
        <f aca="false">$J$8</f>
        <v>10000</v>
      </c>
      <c r="K36" s="38" t="n">
        <f aca="false">MAX(0,K35-J36)</f>
        <v>310000</v>
      </c>
    </row>
    <row r="37" customFormat="false" ht="15" hidden="false" customHeight="true" outlineLevel="0" collapsed="false">
      <c r="A37" s="46" t="n">
        <f aca="false">WORKDAY.INTL(EDATE($C$2,30)-1,1,1,Feriados!$A$2:$A$1275)</f>
        <v>47021</v>
      </c>
      <c r="B37" s="38" t="n">
        <f aca="false">$B$8</f>
        <v>13898.8161017983</v>
      </c>
      <c r="C37" s="38" t="n">
        <f aca="false">E36*$E$3</f>
        <v>4148.12701987733</v>
      </c>
      <c r="D37" s="38" t="n">
        <f aca="false">B37-C37</f>
        <v>9750.68908192095</v>
      </c>
      <c r="E37" s="38" t="n">
        <f aca="false">MAX(0,E36-D37)</f>
        <v>350956.008298717</v>
      </c>
      <c r="G37" s="46" t="n">
        <f aca="false">WORKDAY.INTL(EDATE($I$2,30)-1,1,1,Feriados!$A$2:$A$1275)</f>
        <v>47021</v>
      </c>
      <c r="H37" s="38" t="n">
        <f aca="false">I37+J37</f>
        <v>13565</v>
      </c>
      <c r="I37" s="38" t="n">
        <f aca="false">K36*$K$3</f>
        <v>3565</v>
      </c>
      <c r="J37" s="38" t="n">
        <f aca="false">$J$8</f>
        <v>10000</v>
      </c>
      <c r="K37" s="38" t="n">
        <f aca="false">MAX(0,K36-J37)</f>
        <v>300000</v>
      </c>
    </row>
    <row r="38" customFormat="false" ht="15" hidden="false" customHeight="true" outlineLevel="0" collapsed="false">
      <c r="A38" s="46" t="n">
        <f aca="false">WORKDAY.INTL(EDATE($C$2,31)-1,1,1,Feriados!$A$2:$A$1275)</f>
        <v>47050</v>
      </c>
      <c r="B38" s="38" t="n">
        <f aca="false">$B$8</f>
        <v>13898.8161017983</v>
      </c>
      <c r="C38" s="38" t="n">
        <f aca="false">E37*$E$3</f>
        <v>4035.99409543524</v>
      </c>
      <c r="D38" s="38" t="n">
        <f aca="false">B38-C38</f>
        <v>9862.82200636304</v>
      </c>
      <c r="E38" s="38" t="n">
        <f aca="false">MAX(0,E37-D38)</f>
        <v>341093.186292354</v>
      </c>
      <c r="G38" s="46" t="n">
        <f aca="false">WORKDAY.INTL(EDATE($I$2,31)-1,1,1,Feriados!$A$2:$A$1275)</f>
        <v>47050</v>
      </c>
      <c r="H38" s="38" t="n">
        <f aca="false">I38+J38</f>
        <v>13450</v>
      </c>
      <c r="I38" s="38" t="n">
        <f aca="false">K37*$K$3</f>
        <v>3450</v>
      </c>
      <c r="J38" s="38" t="n">
        <f aca="false">$J$8</f>
        <v>10000</v>
      </c>
      <c r="K38" s="38" t="n">
        <f aca="false">MAX(0,K37-J38)</f>
        <v>290000</v>
      </c>
    </row>
    <row r="39" customFormat="false" ht="15" hidden="false" customHeight="true" outlineLevel="0" collapsed="false">
      <c r="A39" s="46" t="n">
        <f aca="false">WORKDAY.INTL(EDATE($C$2,32)-1,1,1,Feriados!$A$2:$A$1275)</f>
        <v>47081</v>
      </c>
      <c r="B39" s="38" t="n">
        <f aca="false">$B$8</f>
        <v>13898.8161017983</v>
      </c>
      <c r="C39" s="38" t="n">
        <f aca="false">E38*$E$3</f>
        <v>3922.57164236207</v>
      </c>
      <c r="D39" s="38" t="n">
        <f aca="false">B39-C39</f>
        <v>9976.24445943622</v>
      </c>
      <c r="E39" s="38" t="n">
        <f aca="false">MAX(0,E38-D39)</f>
        <v>331116.941832917</v>
      </c>
      <c r="G39" s="46" t="n">
        <f aca="false">WORKDAY.INTL(EDATE($I$2,32)-1,1,1,Feriados!$A$2:$A$1275)</f>
        <v>47081</v>
      </c>
      <c r="H39" s="38" t="n">
        <f aca="false">I39+J39</f>
        <v>13335</v>
      </c>
      <c r="I39" s="38" t="n">
        <f aca="false">K38*$K$3</f>
        <v>3335</v>
      </c>
      <c r="J39" s="38" t="n">
        <f aca="false">$J$8</f>
        <v>10000</v>
      </c>
      <c r="K39" s="38" t="n">
        <f aca="false">MAX(0,K38-J39)</f>
        <v>280000</v>
      </c>
    </row>
    <row r="40" customFormat="false" ht="15" hidden="false" customHeight="true" outlineLevel="0" collapsed="false">
      <c r="A40" s="46" t="n">
        <f aca="false">WORKDAY.INTL(EDATE($C$2,33)-1,1,1,Feriados!$A$2:$A$1275)</f>
        <v>47113</v>
      </c>
      <c r="B40" s="38" t="n">
        <f aca="false">$B$8</f>
        <v>13898.8161017983</v>
      </c>
      <c r="C40" s="38" t="n">
        <f aca="false">E39*$E$3</f>
        <v>3807.84483107855</v>
      </c>
      <c r="D40" s="38" t="n">
        <f aca="false">B40-C40</f>
        <v>10090.9712707197</v>
      </c>
      <c r="E40" s="38" t="n">
        <f aca="false">MAX(0,E39-D40)</f>
        <v>321025.970562198</v>
      </c>
      <c r="G40" s="46" t="n">
        <f aca="false">WORKDAY.INTL(EDATE($I$2,33)-1,1,1,Feriados!$A$2:$A$1275)</f>
        <v>47113</v>
      </c>
      <c r="H40" s="38" t="n">
        <f aca="false">I40+J40</f>
        <v>13220</v>
      </c>
      <c r="I40" s="38" t="n">
        <f aca="false">K39*$K$3</f>
        <v>3220</v>
      </c>
      <c r="J40" s="38" t="n">
        <f aca="false">$J$8</f>
        <v>10000</v>
      </c>
      <c r="K40" s="38" t="n">
        <f aca="false">MAX(0,K39-J40)</f>
        <v>270000</v>
      </c>
    </row>
    <row r="41" customFormat="false" ht="15" hidden="false" customHeight="true" outlineLevel="0" collapsed="false">
      <c r="A41" s="46" t="n">
        <f aca="false">WORKDAY.INTL(EDATE($C$2,34)-1,1,1,Feriados!$A$2:$A$1275)</f>
        <v>47142</v>
      </c>
      <c r="B41" s="38" t="n">
        <f aca="false">$B$8</f>
        <v>13898.8161017983</v>
      </c>
      <c r="C41" s="38" t="n">
        <f aca="false">E40*$E$3</f>
        <v>3691.79866146527</v>
      </c>
      <c r="D41" s="38" t="n">
        <f aca="false">B41-C41</f>
        <v>10207.017440333</v>
      </c>
      <c r="E41" s="38" t="n">
        <f aca="false">MAX(0,E40-D41)</f>
        <v>310818.953121865</v>
      </c>
      <c r="G41" s="46" t="n">
        <f aca="false">WORKDAY.INTL(EDATE($I$2,34)-1,1,1,Feriados!$A$2:$A$1275)</f>
        <v>47142</v>
      </c>
      <c r="H41" s="38" t="n">
        <f aca="false">I41+J41</f>
        <v>13105</v>
      </c>
      <c r="I41" s="38" t="n">
        <f aca="false">K40*$K$3</f>
        <v>3105</v>
      </c>
      <c r="J41" s="38" t="n">
        <f aca="false">$J$8</f>
        <v>10000</v>
      </c>
      <c r="K41" s="38" t="n">
        <f aca="false">MAX(0,K40-J41)</f>
        <v>260000</v>
      </c>
    </row>
    <row r="42" customFormat="false" ht="15" hidden="false" customHeight="true" outlineLevel="0" collapsed="false">
      <c r="A42" s="46" t="n">
        <f aca="false">WORKDAY.INTL(EDATE($C$2,35)-1,1,1,Feriados!$A$2:$A$1275)</f>
        <v>47175</v>
      </c>
      <c r="B42" s="38" t="n">
        <f aca="false">$B$8</f>
        <v>13898.8161017983</v>
      </c>
      <c r="C42" s="38" t="n">
        <f aca="false">E41*$E$3</f>
        <v>3574.41796090144</v>
      </c>
      <c r="D42" s="38" t="n">
        <f aca="false">B42-C42</f>
        <v>10324.3981408968</v>
      </c>
      <c r="E42" s="38" t="n">
        <f aca="false">MAX(0,E41-D42)</f>
        <v>300494.554980968</v>
      </c>
      <c r="G42" s="46" t="n">
        <f aca="false">WORKDAY.INTL(EDATE($I$2,35)-1,1,1,Feriados!$A$2:$A$1275)</f>
        <v>47175</v>
      </c>
      <c r="H42" s="38" t="n">
        <f aca="false">I42+J42</f>
        <v>12990</v>
      </c>
      <c r="I42" s="38" t="n">
        <f aca="false">K41*$K$3</f>
        <v>2990</v>
      </c>
      <c r="J42" s="38" t="n">
        <f aca="false">$J$8</f>
        <v>10000</v>
      </c>
      <c r="K42" s="38" t="n">
        <f aca="false">MAX(0,K41-J42)</f>
        <v>250000</v>
      </c>
    </row>
    <row r="43" customFormat="false" ht="15" hidden="false" customHeight="true" outlineLevel="0" collapsed="false">
      <c r="A43" s="46" t="n">
        <f aca="false">WORKDAY.INTL(EDATE($C$2,36)-1,1,1,Feriados!$A$2:$A$1275)</f>
        <v>47203</v>
      </c>
      <c r="B43" s="38" t="n">
        <f aca="false">$B$8</f>
        <v>13898.8161017983</v>
      </c>
      <c r="C43" s="38" t="n">
        <f aca="false">E42*$E$3</f>
        <v>3455.68738228113</v>
      </c>
      <c r="D43" s="38" t="n">
        <f aca="false">B43-C43</f>
        <v>10443.1287195172</v>
      </c>
      <c r="E43" s="38" t="n">
        <f aca="false">MAX(0,E42-D43)</f>
        <v>290051.426261451</v>
      </c>
      <c r="G43" s="46" t="n">
        <f aca="false">WORKDAY.INTL(EDATE($I$2,36)-1,1,1,Feriados!$A$2:$A$1275)</f>
        <v>47203</v>
      </c>
      <c r="H43" s="38" t="n">
        <f aca="false">I43+J43</f>
        <v>12875</v>
      </c>
      <c r="I43" s="38" t="n">
        <f aca="false">K42*$K$3</f>
        <v>2875</v>
      </c>
      <c r="J43" s="38" t="n">
        <f aca="false">$J$8</f>
        <v>10000</v>
      </c>
      <c r="K43" s="38" t="n">
        <f aca="false">MAX(0,K42-J43)</f>
        <v>240000</v>
      </c>
    </row>
    <row r="44" customFormat="false" ht="15" hidden="false" customHeight="true" outlineLevel="0" collapsed="false">
      <c r="A44" s="46" t="n">
        <f aca="false">WORKDAY.INTL(EDATE($C$2,37)-1,1,1,Feriados!$A$2:$A$1275)</f>
        <v>47232</v>
      </c>
      <c r="B44" s="38" t="n">
        <f aca="false">$B$8</f>
        <v>13898.8161017983</v>
      </c>
      <c r="C44" s="38" t="n">
        <f aca="false">E43*$E$3</f>
        <v>3335.59140200668</v>
      </c>
      <c r="D44" s="38" t="n">
        <f aca="false">B44-C44</f>
        <v>10563.2246997916</v>
      </c>
      <c r="E44" s="38" t="n">
        <f aca="false">MAX(0,E43-D44)</f>
        <v>279488.201561659</v>
      </c>
      <c r="G44" s="46" t="n">
        <f aca="false">WORKDAY.INTL(EDATE($I$2,37)-1,1,1,Feriados!$A$2:$A$1275)</f>
        <v>47232</v>
      </c>
      <c r="H44" s="38" t="n">
        <f aca="false">I44+J44</f>
        <v>12760</v>
      </c>
      <c r="I44" s="38" t="n">
        <f aca="false">K43*$K$3</f>
        <v>2760</v>
      </c>
      <c r="J44" s="38" t="n">
        <f aca="false">$J$8</f>
        <v>10000</v>
      </c>
      <c r="K44" s="38" t="n">
        <f aca="false">MAX(0,K43-J44)</f>
        <v>230000</v>
      </c>
    </row>
    <row r="45" customFormat="false" ht="15" hidden="false" customHeight="true" outlineLevel="0" collapsed="false">
      <c r="A45" s="46" t="n">
        <f aca="false">WORKDAY.INTL(EDATE($C$2,38)-1,1,1,Feriados!$A$2:$A$1275)</f>
        <v>47262</v>
      </c>
      <c r="B45" s="38" t="n">
        <f aca="false">$B$8</f>
        <v>13898.8161017983</v>
      </c>
      <c r="C45" s="38" t="n">
        <f aca="false">E44*$E$3</f>
        <v>3214.11431795908</v>
      </c>
      <c r="D45" s="38" t="n">
        <f aca="false">B45-C45</f>
        <v>10684.7017838392</v>
      </c>
      <c r="E45" s="38" t="n">
        <f aca="false">MAX(0,E44-D45)</f>
        <v>268803.49977782</v>
      </c>
      <c r="G45" s="46" t="n">
        <f aca="false">WORKDAY.INTL(EDATE($I$2,38)-1,1,1,Feriados!$A$2:$A$1275)</f>
        <v>47262</v>
      </c>
      <c r="H45" s="38" t="n">
        <f aca="false">I45+J45</f>
        <v>12645</v>
      </c>
      <c r="I45" s="38" t="n">
        <f aca="false">K44*$K$3</f>
        <v>2645</v>
      </c>
      <c r="J45" s="38" t="n">
        <f aca="false">$J$8</f>
        <v>10000</v>
      </c>
      <c r="K45" s="38" t="n">
        <f aca="false">MAX(0,K44-J45)</f>
        <v>220000</v>
      </c>
    </row>
    <row r="46" customFormat="false" ht="15" hidden="false" customHeight="true" outlineLevel="0" collapsed="false">
      <c r="A46" s="46" t="n">
        <f aca="false">WORKDAY.INTL(EDATE($C$2,39)-1,1,1,Feriados!$A$2:$A$1275)</f>
        <v>47294</v>
      </c>
      <c r="B46" s="38" t="n">
        <f aca="false">$B$8</f>
        <v>13898.8161017983</v>
      </c>
      <c r="C46" s="38" t="n">
        <f aca="false">E45*$E$3</f>
        <v>3091.24024744493</v>
      </c>
      <c r="D46" s="38" t="n">
        <f aca="false">B46-C46</f>
        <v>10807.5758543534</v>
      </c>
      <c r="E46" s="38" t="n">
        <f aca="false">MAX(0,E45-D46)</f>
        <v>257995.923923467</v>
      </c>
      <c r="G46" s="46" t="n">
        <f aca="false">WORKDAY.INTL(EDATE($I$2,39)-1,1,1,Feriados!$A$2:$A$1275)</f>
        <v>47294</v>
      </c>
      <c r="H46" s="38" t="n">
        <f aca="false">I46+J46</f>
        <v>12530</v>
      </c>
      <c r="I46" s="38" t="n">
        <f aca="false">K45*$K$3</f>
        <v>2530</v>
      </c>
      <c r="J46" s="38" t="n">
        <f aca="false">$J$8</f>
        <v>10000</v>
      </c>
      <c r="K46" s="38" t="n">
        <f aca="false">MAX(0,K45-J46)</f>
        <v>210000</v>
      </c>
    </row>
    <row r="47" customFormat="false" ht="15" hidden="false" customHeight="true" outlineLevel="0" collapsed="false">
      <c r="A47" s="46" t="n">
        <f aca="false">WORKDAY.INTL(EDATE($C$2,40)-1,1,1,Feriados!$A$2:$A$1275)</f>
        <v>47323</v>
      </c>
      <c r="B47" s="38" t="n">
        <f aca="false">$B$8</f>
        <v>13898.8161017983</v>
      </c>
      <c r="C47" s="38" t="n">
        <f aca="false">E46*$E$3</f>
        <v>2966.95312511986</v>
      </c>
      <c r="D47" s="38" t="n">
        <f aca="false">B47-C47</f>
        <v>10931.8629766784</v>
      </c>
      <c r="E47" s="38" t="n">
        <f aca="false">MAX(0,E46-D47)</f>
        <v>247064.060946788</v>
      </c>
      <c r="G47" s="46" t="n">
        <f aca="false">WORKDAY.INTL(EDATE($I$2,40)-1,1,1,Feriados!$A$2:$A$1275)</f>
        <v>47323</v>
      </c>
      <c r="H47" s="38" t="n">
        <f aca="false">I47+J47</f>
        <v>12415</v>
      </c>
      <c r="I47" s="38" t="n">
        <f aca="false">K46*$K$3</f>
        <v>2415</v>
      </c>
      <c r="J47" s="38" t="n">
        <f aca="false">$J$8</f>
        <v>10000</v>
      </c>
      <c r="K47" s="38" t="n">
        <f aca="false">MAX(0,K46-J47)</f>
        <v>200000</v>
      </c>
    </row>
    <row r="48" customFormat="false" ht="15" hidden="false" customHeight="true" outlineLevel="0" collapsed="false">
      <c r="A48" s="46" t="n">
        <f aca="false">WORKDAY.INTL(EDATE($C$2,41)-1,1,1,Feriados!$A$2:$A$1275)</f>
        <v>47354</v>
      </c>
      <c r="B48" s="38" t="n">
        <f aca="false">$B$8</f>
        <v>13898.8161017983</v>
      </c>
      <c r="C48" s="38" t="n">
        <f aca="false">E47*$E$3</f>
        <v>2841.23670088806</v>
      </c>
      <c r="D48" s="38" t="n">
        <f aca="false">B48-C48</f>
        <v>11057.5794009102</v>
      </c>
      <c r="E48" s="38" t="n">
        <f aca="false">MAX(0,E47-D48)</f>
        <v>236006.481545878</v>
      </c>
      <c r="G48" s="46" t="n">
        <f aca="false">WORKDAY.INTL(EDATE($I$2,41)-1,1,1,Feriados!$A$2:$A$1275)</f>
        <v>47354</v>
      </c>
      <c r="H48" s="38" t="n">
        <f aca="false">I48+J48</f>
        <v>12300</v>
      </c>
      <c r="I48" s="38" t="n">
        <f aca="false">K47*$K$3</f>
        <v>2300</v>
      </c>
      <c r="J48" s="38" t="n">
        <f aca="false">$J$8</f>
        <v>10000</v>
      </c>
      <c r="K48" s="38" t="n">
        <f aca="false">MAX(0,K47-J48)</f>
        <v>190000</v>
      </c>
    </row>
    <row r="49" customFormat="false" ht="15" hidden="false" customHeight="true" outlineLevel="0" collapsed="false">
      <c r="A49" s="46" t="n">
        <f aca="false">WORKDAY.INTL(EDATE($C$2,42)-1,1,1,Feriados!$A$2:$A$1275)</f>
        <v>47385</v>
      </c>
      <c r="B49" s="38" t="n">
        <f aca="false">$B$8</f>
        <v>13898.8161017983</v>
      </c>
      <c r="C49" s="38" t="n">
        <f aca="false">E48*$E$3</f>
        <v>2714.0745377776</v>
      </c>
      <c r="D49" s="38" t="n">
        <f aca="false">B49-C49</f>
        <v>11184.7415640207</v>
      </c>
      <c r="E49" s="38" t="n">
        <f aca="false">MAX(0,E48-D49)</f>
        <v>224821.739981857</v>
      </c>
      <c r="G49" s="46" t="n">
        <f aca="false">WORKDAY.INTL(EDATE($I$2,42)-1,1,1,Feriados!$A$2:$A$1275)</f>
        <v>47385</v>
      </c>
      <c r="H49" s="38" t="n">
        <f aca="false">I49+J49</f>
        <v>12185</v>
      </c>
      <c r="I49" s="38" t="n">
        <f aca="false">K48*$K$3</f>
        <v>2185</v>
      </c>
      <c r="J49" s="38" t="n">
        <f aca="false">$J$8</f>
        <v>10000</v>
      </c>
      <c r="K49" s="38" t="n">
        <f aca="false">MAX(0,K48-J49)</f>
        <v>180000</v>
      </c>
    </row>
    <row r="50" customFormat="false" ht="15" hidden="false" customHeight="true" outlineLevel="0" collapsed="false">
      <c r="A50" s="46" t="n">
        <f aca="false">WORKDAY.INTL(EDATE($C$2,43)-1,1,1,Feriados!$A$2:$A$1275)</f>
        <v>47415</v>
      </c>
      <c r="B50" s="38" t="n">
        <f aca="false">$B$8</f>
        <v>13898.8161017983</v>
      </c>
      <c r="C50" s="38" t="n">
        <f aca="false">E49*$E$3</f>
        <v>2585.45000979136</v>
      </c>
      <c r="D50" s="38" t="n">
        <f aca="false">B50-C50</f>
        <v>11313.3660920069</v>
      </c>
      <c r="E50" s="38" t="n">
        <f aca="false">MAX(0,E49-D50)</f>
        <v>213508.37388985</v>
      </c>
      <c r="G50" s="46" t="n">
        <f aca="false">WORKDAY.INTL(EDATE($I$2,43)-1,1,1,Feriados!$A$2:$A$1275)</f>
        <v>47415</v>
      </c>
      <c r="H50" s="38" t="n">
        <f aca="false">I50+J50</f>
        <v>12070</v>
      </c>
      <c r="I50" s="38" t="n">
        <f aca="false">K49*$K$3</f>
        <v>2070</v>
      </c>
      <c r="J50" s="38" t="n">
        <f aca="false">$J$8</f>
        <v>10000</v>
      </c>
      <c r="K50" s="38" t="n">
        <f aca="false">MAX(0,K49-J50)</f>
        <v>170000</v>
      </c>
    </row>
    <row r="51" customFormat="false" ht="15" hidden="false" customHeight="true" outlineLevel="0" collapsed="false">
      <c r="A51" s="46" t="n">
        <f aca="false">WORKDAY.INTL(EDATE($C$2,44)-1,1,1,Feriados!$A$2:$A$1275)</f>
        <v>47448</v>
      </c>
      <c r="B51" s="38" t="n">
        <f aca="false">$B$8</f>
        <v>13898.8161017983</v>
      </c>
      <c r="C51" s="38" t="n">
        <f aca="false">E50*$E$3</f>
        <v>2455.34629973328</v>
      </c>
      <c r="D51" s="38" t="n">
        <f aca="false">B51-C51</f>
        <v>11443.469802065</v>
      </c>
      <c r="E51" s="38" t="n">
        <f aca="false">MAX(0,E50-D51)</f>
        <v>202064.904087785</v>
      </c>
      <c r="G51" s="46" t="n">
        <f aca="false">WORKDAY.INTL(EDATE($I$2,44)-1,1,1,Feriados!$A$2:$A$1275)</f>
        <v>47448</v>
      </c>
      <c r="H51" s="38" t="n">
        <f aca="false">I51+J51</f>
        <v>11955</v>
      </c>
      <c r="I51" s="38" t="n">
        <f aca="false">K50*$K$3</f>
        <v>1955</v>
      </c>
      <c r="J51" s="38" t="n">
        <f aca="false">$J$8</f>
        <v>10000</v>
      </c>
      <c r="K51" s="38" t="n">
        <f aca="false">MAX(0,K50-J51)</f>
        <v>160000</v>
      </c>
    </row>
    <row r="52" customFormat="false" ht="15" hidden="false" customHeight="true" outlineLevel="0" collapsed="false">
      <c r="A52" s="46" t="n">
        <f aca="false">WORKDAY.INTL(EDATE($C$2,45)-1,1,1,Feriados!$A$2:$A$1275)</f>
        <v>47476</v>
      </c>
      <c r="B52" s="38" t="n">
        <f aca="false">$B$8</f>
        <v>13898.8161017983</v>
      </c>
      <c r="C52" s="38" t="n">
        <f aca="false">E51*$E$3</f>
        <v>2323.74639700953</v>
      </c>
      <c r="D52" s="38" t="n">
        <f aca="false">B52-C52</f>
        <v>11575.0697047888</v>
      </c>
      <c r="E52" s="38" t="n">
        <f aca="false">MAX(0,E51-D52)</f>
        <v>190489.834382997</v>
      </c>
      <c r="G52" s="46" t="n">
        <f aca="false">WORKDAY.INTL(EDATE($I$2,45)-1,1,1,Feriados!$A$2:$A$1275)</f>
        <v>47476</v>
      </c>
      <c r="H52" s="38" t="n">
        <f aca="false">I52+J52</f>
        <v>11840</v>
      </c>
      <c r="I52" s="38" t="n">
        <f aca="false">K51*$K$3</f>
        <v>1840</v>
      </c>
      <c r="J52" s="38" t="n">
        <f aca="false">$J$8</f>
        <v>10000</v>
      </c>
      <c r="K52" s="38" t="n">
        <f aca="false">MAX(0,K51-J52)</f>
        <v>150000</v>
      </c>
    </row>
    <row r="53" customFormat="false" ht="15" hidden="false" customHeight="true" outlineLevel="0" collapsed="false">
      <c r="A53" s="46" t="n">
        <f aca="false">WORKDAY.INTL(EDATE($C$2,46)-1,1,1,Feriados!$A$2:$A$1275)</f>
        <v>47507</v>
      </c>
      <c r="B53" s="38" t="n">
        <f aca="false">$B$8</f>
        <v>13898.8161017983</v>
      </c>
      <c r="C53" s="38" t="n">
        <f aca="false">E52*$E$3</f>
        <v>2190.63309540446</v>
      </c>
      <c r="D53" s="38" t="n">
        <f aca="false">B53-C53</f>
        <v>11708.1830063938</v>
      </c>
      <c r="E53" s="38" t="n">
        <f aca="false">MAX(0,E52-D53)</f>
        <v>178781.651376603</v>
      </c>
      <c r="G53" s="46" t="n">
        <f aca="false">WORKDAY.INTL(EDATE($I$2,46)-1,1,1,Feriados!$A$2:$A$1275)</f>
        <v>47507</v>
      </c>
      <c r="H53" s="38" t="n">
        <f aca="false">I53+J53</f>
        <v>11725</v>
      </c>
      <c r="I53" s="38" t="n">
        <f aca="false">K52*$K$3</f>
        <v>1725</v>
      </c>
      <c r="J53" s="38" t="n">
        <f aca="false">$J$8</f>
        <v>10000</v>
      </c>
      <c r="K53" s="38" t="n">
        <f aca="false">MAX(0,K52-J53)</f>
        <v>140000</v>
      </c>
    </row>
    <row r="54" customFormat="false" ht="15" hidden="false" customHeight="true" outlineLevel="0" collapsed="false">
      <c r="A54" s="46" t="n">
        <f aca="false">WORKDAY.INTL(EDATE($C$2,47)-1,1,1,Feriados!$A$2:$A$1275)</f>
        <v>47539</v>
      </c>
      <c r="B54" s="38" t="n">
        <f aca="false">$B$8</f>
        <v>13898.8161017983</v>
      </c>
      <c r="C54" s="38" t="n">
        <f aca="false">E53*$E$3</f>
        <v>2055.98899083093</v>
      </c>
      <c r="D54" s="38" t="n">
        <f aca="false">B54-C54</f>
        <v>11842.8271109674</v>
      </c>
      <c r="E54" s="38" t="n">
        <f aca="false">MAX(0,E53-D54)</f>
        <v>166938.824265635</v>
      </c>
      <c r="G54" s="46" t="n">
        <f aca="false">WORKDAY.INTL(EDATE($I$2,47)-1,1,1,Feriados!$A$2:$A$1275)</f>
        <v>47539</v>
      </c>
      <c r="H54" s="38" t="n">
        <f aca="false">I54+J54</f>
        <v>11610</v>
      </c>
      <c r="I54" s="38" t="n">
        <f aca="false">K53*$K$3</f>
        <v>1610</v>
      </c>
      <c r="J54" s="38" t="n">
        <f aca="false">$J$8</f>
        <v>10000</v>
      </c>
      <c r="K54" s="38" t="n">
        <f aca="false">MAX(0,K53-J54)</f>
        <v>130000</v>
      </c>
    </row>
    <row r="55" customFormat="false" ht="15" hidden="false" customHeight="true" outlineLevel="0" collapsed="false">
      <c r="A55" s="46" t="n">
        <f aca="false">WORKDAY.INTL(EDATE($C$2,48)-1,1,1,Feriados!$A$2:$A$1275)</f>
        <v>47567</v>
      </c>
      <c r="B55" s="38" t="n">
        <f aca="false">$B$8</f>
        <v>13898.8161017983</v>
      </c>
      <c r="C55" s="38" t="n">
        <f aca="false">E54*$E$3</f>
        <v>1919.79647905481</v>
      </c>
      <c r="D55" s="38" t="n">
        <f aca="false">B55-C55</f>
        <v>11979.0196227435</v>
      </c>
      <c r="E55" s="38" t="n">
        <f aca="false">MAX(0,E54-D55)</f>
        <v>154959.804642892</v>
      </c>
      <c r="G55" s="46" t="n">
        <f aca="false">WORKDAY.INTL(EDATE($I$2,48)-1,1,1,Feriados!$A$2:$A$1275)</f>
        <v>47567</v>
      </c>
      <c r="H55" s="38" t="n">
        <f aca="false">I55+J55</f>
        <v>11495</v>
      </c>
      <c r="I55" s="38" t="n">
        <f aca="false">K54*$K$3</f>
        <v>1495</v>
      </c>
      <c r="J55" s="38" t="n">
        <f aca="false">$J$8</f>
        <v>10000</v>
      </c>
      <c r="K55" s="38" t="n">
        <f aca="false">MAX(0,K54-J55)</f>
        <v>120000</v>
      </c>
    </row>
    <row r="56" customFormat="false" ht="15" hidden="false" customHeight="true" outlineLevel="0" collapsed="false">
      <c r="A56" s="46" t="n">
        <f aca="false">WORKDAY.INTL(EDATE($C$2,49)-1,1,1,Feriados!$A$2:$A$1275)</f>
        <v>47597</v>
      </c>
      <c r="B56" s="38" t="n">
        <f aca="false">$B$8</f>
        <v>13898.8161017983</v>
      </c>
      <c r="C56" s="38" t="n">
        <f aca="false">E55*$E$3</f>
        <v>1782.03775339326</v>
      </c>
      <c r="D56" s="38" t="n">
        <f aca="false">B56-C56</f>
        <v>12116.778348405</v>
      </c>
      <c r="E56" s="38" t="n">
        <f aca="false">MAX(0,E55-D56)</f>
        <v>142843.026294487</v>
      </c>
      <c r="G56" s="46" t="n">
        <f aca="false">WORKDAY.INTL(EDATE($I$2,49)-1,1,1,Feriados!$A$2:$A$1275)</f>
        <v>47597</v>
      </c>
      <c r="H56" s="38" t="n">
        <f aca="false">I56+J56</f>
        <v>11380</v>
      </c>
      <c r="I56" s="38" t="n">
        <f aca="false">K55*$K$3</f>
        <v>1380</v>
      </c>
      <c r="J56" s="38" t="n">
        <f aca="false">$J$8</f>
        <v>10000</v>
      </c>
      <c r="K56" s="38" t="n">
        <f aca="false">MAX(0,K55-J56)</f>
        <v>110000</v>
      </c>
    </row>
    <row r="57" customFormat="false" ht="15" hidden="false" customHeight="true" outlineLevel="0" collapsed="false">
      <c r="A57" s="46" t="n">
        <f aca="false">WORKDAY.INTL(EDATE($C$2,50)-1,1,1,Feriados!$A$2:$A$1275)</f>
        <v>47627</v>
      </c>
      <c r="B57" s="38" t="n">
        <f aca="false">$B$8</f>
        <v>13898.8161017983</v>
      </c>
      <c r="C57" s="38" t="n">
        <f aca="false">E56*$E$3</f>
        <v>1642.6948023866</v>
      </c>
      <c r="D57" s="38" t="n">
        <f aca="false">B57-C57</f>
        <v>12256.1212994117</v>
      </c>
      <c r="E57" s="38" t="n">
        <f aca="false">MAX(0,E56-D57)</f>
        <v>130586.904995075</v>
      </c>
      <c r="G57" s="46" t="n">
        <f aca="false">WORKDAY.INTL(EDATE($I$2,50)-1,1,1,Feriados!$A$2:$A$1275)</f>
        <v>47627</v>
      </c>
      <c r="H57" s="38" t="n">
        <f aca="false">I57+J57</f>
        <v>11265</v>
      </c>
      <c r="I57" s="38" t="n">
        <f aca="false">K56*$K$3</f>
        <v>1265</v>
      </c>
      <c r="J57" s="38" t="n">
        <f aca="false">$J$8</f>
        <v>10000</v>
      </c>
      <c r="K57" s="38" t="n">
        <f aca="false">MAX(0,K56-J57)</f>
        <v>100000</v>
      </c>
    </row>
    <row r="58" customFormat="false" ht="15" hidden="false" customHeight="true" outlineLevel="0" collapsed="false">
      <c r="A58" s="46" t="n">
        <f aca="false">WORKDAY.INTL(EDATE($C$2,51)-1,1,1,Feriados!$A$2:$A$1275)</f>
        <v>47658</v>
      </c>
      <c r="B58" s="38" t="n">
        <f aca="false">$B$8</f>
        <v>13898.8161017983</v>
      </c>
      <c r="C58" s="38" t="n">
        <f aca="false">E57*$E$3</f>
        <v>1501.74940744336</v>
      </c>
      <c r="D58" s="38" t="n">
        <f aca="false">B58-C58</f>
        <v>12397.0666943549</v>
      </c>
      <c r="E58" s="38" t="n">
        <f aca="false">MAX(0,E57-D58)</f>
        <v>118189.83830072</v>
      </c>
      <c r="G58" s="46" t="n">
        <f aca="false">WORKDAY.INTL(EDATE($I$2,51)-1,1,1,Feriados!$A$2:$A$1275)</f>
        <v>47658</v>
      </c>
      <c r="H58" s="38" t="n">
        <f aca="false">I58+J58</f>
        <v>11150</v>
      </c>
      <c r="I58" s="38" t="n">
        <f aca="false">K57*$K$3</f>
        <v>1150</v>
      </c>
      <c r="J58" s="38" t="n">
        <f aca="false">$J$8</f>
        <v>10000</v>
      </c>
      <c r="K58" s="38" t="n">
        <f aca="false">MAX(0,K57-J58)</f>
        <v>90000</v>
      </c>
    </row>
    <row r="59" customFormat="false" ht="15" hidden="false" customHeight="true" outlineLevel="0" collapsed="false">
      <c r="A59" s="46" t="n">
        <f aca="false">WORKDAY.INTL(EDATE($C$2,52)-1,1,1,Feriados!$A$2:$A$1275)</f>
        <v>47688</v>
      </c>
      <c r="B59" s="38" t="n">
        <f aca="false">$B$8</f>
        <v>13898.8161017983</v>
      </c>
      <c r="C59" s="38" t="n">
        <f aca="false">E58*$E$3</f>
        <v>1359.18314045828</v>
      </c>
      <c r="D59" s="38" t="n">
        <f aca="false">B59-C59</f>
        <v>12539.63296134</v>
      </c>
      <c r="E59" s="38" t="n">
        <f aca="false">MAX(0,E58-D59)</f>
        <v>105650.20533938</v>
      </c>
      <c r="G59" s="46" t="n">
        <f aca="false">WORKDAY.INTL(EDATE($I$2,52)-1,1,1,Feriados!$A$2:$A$1275)</f>
        <v>47688</v>
      </c>
      <c r="H59" s="38" t="n">
        <f aca="false">I59+J59</f>
        <v>11035</v>
      </c>
      <c r="I59" s="38" t="n">
        <f aca="false">K58*$K$3</f>
        <v>1035</v>
      </c>
      <c r="J59" s="38" t="n">
        <f aca="false">$J$8</f>
        <v>10000</v>
      </c>
      <c r="K59" s="38" t="n">
        <f aca="false">MAX(0,K58-J59)</f>
        <v>80000</v>
      </c>
    </row>
    <row r="60" customFormat="false" ht="15" hidden="false" customHeight="true" outlineLevel="0" collapsed="false">
      <c r="A60" s="46" t="n">
        <f aca="false">WORKDAY.INTL(EDATE($C$2,53)-1,1,1,Feriados!$A$2:$A$1275)</f>
        <v>47721</v>
      </c>
      <c r="B60" s="38" t="n">
        <f aca="false">$B$8</f>
        <v>13898.8161017983</v>
      </c>
      <c r="C60" s="38" t="n">
        <f aca="false">E59*$E$3</f>
        <v>1214.97736140287</v>
      </c>
      <c r="D60" s="38" t="n">
        <f aca="false">B60-C60</f>
        <v>12683.8387403954</v>
      </c>
      <c r="E60" s="38" t="n">
        <f aca="false">MAX(0,E59-D60)</f>
        <v>92966.3665989848</v>
      </c>
      <c r="G60" s="46" t="n">
        <f aca="false">WORKDAY.INTL(EDATE($I$2,53)-1,1,1,Feriados!$A$2:$A$1275)</f>
        <v>47721</v>
      </c>
      <c r="H60" s="38" t="n">
        <f aca="false">I60+J60</f>
        <v>10920</v>
      </c>
      <c r="I60" s="38" t="n">
        <f aca="false">K59*$K$3</f>
        <v>920</v>
      </c>
      <c r="J60" s="38" t="n">
        <f aca="false">$J$8</f>
        <v>10000</v>
      </c>
      <c r="K60" s="38" t="n">
        <f aca="false">MAX(0,K59-J60)</f>
        <v>70000</v>
      </c>
    </row>
    <row r="61" customFormat="false" ht="15" hidden="false" customHeight="true" outlineLevel="0" collapsed="false">
      <c r="A61" s="46" t="n">
        <f aca="false">WORKDAY.INTL(EDATE($C$2,54)-1,1,1,Feriados!$A$2:$A$1275)</f>
        <v>47750</v>
      </c>
      <c r="B61" s="38" t="n">
        <f aca="false">$B$8</f>
        <v>13898.8161017983</v>
      </c>
      <c r="C61" s="38" t="n">
        <f aca="false">E60*$E$3</f>
        <v>1069.11321588833</v>
      </c>
      <c r="D61" s="38" t="n">
        <f aca="false">B61-C61</f>
        <v>12829.70288591</v>
      </c>
      <c r="E61" s="38" t="n">
        <f aca="false">MAX(0,E60-D61)</f>
        <v>80136.6637130749</v>
      </c>
      <c r="G61" s="46" t="n">
        <f aca="false">WORKDAY.INTL(EDATE($I$2,54)-1,1,1,Feriados!$A$2:$A$1275)</f>
        <v>47750</v>
      </c>
      <c r="H61" s="38" t="n">
        <f aca="false">I61+J61</f>
        <v>10805</v>
      </c>
      <c r="I61" s="38" t="n">
        <f aca="false">K60*$K$3</f>
        <v>805</v>
      </c>
      <c r="J61" s="38" t="n">
        <f aca="false">$J$8</f>
        <v>10000</v>
      </c>
      <c r="K61" s="38" t="n">
        <f aca="false">MAX(0,K60-J61)</f>
        <v>60000</v>
      </c>
    </row>
    <row r="62" customFormat="false" ht="15" hidden="false" customHeight="true" outlineLevel="0" collapsed="false">
      <c r="A62" s="46" t="n">
        <f aca="false">WORKDAY.INTL(EDATE($C$2,55)-1,1,1,Feriados!$A$2:$A$1275)</f>
        <v>47780</v>
      </c>
      <c r="B62" s="38" t="n">
        <f aca="false">$B$8</f>
        <v>13898.8161017983</v>
      </c>
      <c r="C62" s="38" t="n">
        <f aca="false">E61*$E$3</f>
        <v>921.571632700361</v>
      </c>
      <c r="D62" s="38" t="n">
        <f aca="false">B62-C62</f>
        <v>12977.2444690979</v>
      </c>
      <c r="E62" s="38" t="n">
        <f aca="false">MAX(0,E61-D62)</f>
        <v>67159.419243977</v>
      </c>
      <c r="G62" s="46" t="n">
        <f aca="false">WORKDAY.INTL(EDATE($I$2,55)-1,1,1,Feriados!$A$2:$A$1275)</f>
        <v>47780</v>
      </c>
      <c r="H62" s="38" t="n">
        <f aca="false">I62+J62</f>
        <v>10690</v>
      </c>
      <c r="I62" s="38" t="n">
        <f aca="false">K61*$K$3</f>
        <v>690</v>
      </c>
      <c r="J62" s="38" t="n">
        <f aca="false">$J$8</f>
        <v>10000</v>
      </c>
      <c r="K62" s="38" t="n">
        <f aca="false">MAX(0,K61-J62)</f>
        <v>50000</v>
      </c>
    </row>
    <row r="63" customFormat="false" ht="15" hidden="false" customHeight="true" outlineLevel="0" collapsed="false">
      <c r="A63" s="46" t="n">
        <f aca="false">WORKDAY.INTL(EDATE($C$2,56)-1,1,1,Feriados!$A$2:$A$1275)</f>
        <v>47812</v>
      </c>
      <c r="B63" s="38" t="n">
        <f aca="false">$B$8</f>
        <v>13898.8161017983</v>
      </c>
      <c r="C63" s="38" t="n">
        <f aca="false">E62*$E$3</f>
        <v>772.333321305735</v>
      </c>
      <c r="D63" s="38" t="n">
        <f aca="false">B63-C63</f>
        <v>13126.4827804925</v>
      </c>
      <c r="E63" s="38" t="n">
        <f aca="false">MAX(0,E62-D63)</f>
        <v>54032.9364634844</v>
      </c>
      <c r="G63" s="46" t="n">
        <f aca="false">WORKDAY.INTL(EDATE($I$2,56)-1,1,1,Feriados!$A$2:$A$1275)</f>
        <v>47812</v>
      </c>
      <c r="H63" s="38" t="n">
        <f aca="false">I63+J63</f>
        <v>10575</v>
      </c>
      <c r="I63" s="38" t="n">
        <f aca="false">K62*$K$3</f>
        <v>575</v>
      </c>
      <c r="J63" s="38" t="n">
        <f aca="false">$J$8</f>
        <v>10000</v>
      </c>
      <c r="K63" s="38" t="n">
        <f aca="false">MAX(0,K62-J63)</f>
        <v>40000</v>
      </c>
    </row>
    <row r="64" customFormat="false" ht="15" hidden="false" customHeight="true" outlineLevel="0" collapsed="false">
      <c r="A64" s="46" t="n">
        <f aca="false">WORKDAY.INTL(EDATE($C$2,57)-1,1,1,Feriados!$A$2:$A$1275)</f>
        <v>47841</v>
      </c>
      <c r="B64" s="38" t="n">
        <f aca="false">$B$8</f>
        <v>13898.8161017983</v>
      </c>
      <c r="C64" s="38" t="n">
        <f aca="false">E63*$E$3</f>
        <v>621.378769330071</v>
      </c>
      <c r="D64" s="38" t="n">
        <f aca="false">B64-C64</f>
        <v>13277.4373324682</v>
      </c>
      <c r="E64" s="38" t="n">
        <f aca="false">MAX(0,E63-D64)</f>
        <v>40755.4991310162</v>
      </c>
      <c r="G64" s="46" t="n">
        <f aca="false">WORKDAY.INTL(EDATE($I$2,57)-1,1,1,Feriados!$A$2:$A$1275)</f>
        <v>47841</v>
      </c>
      <c r="H64" s="38" t="n">
        <f aca="false">I64+J64</f>
        <v>10460</v>
      </c>
      <c r="I64" s="38" t="n">
        <f aca="false">K63*$K$3</f>
        <v>460</v>
      </c>
      <c r="J64" s="38" t="n">
        <f aca="false">$J$8</f>
        <v>10000</v>
      </c>
      <c r="K64" s="38" t="n">
        <f aca="false">MAX(0,K63-J64)</f>
        <v>30000</v>
      </c>
    </row>
    <row r="65" customFormat="false" ht="15" hidden="false" customHeight="true" outlineLevel="0" collapsed="false">
      <c r="A65" s="46" t="n">
        <f aca="false">WORKDAY.INTL(EDATE($C$2,58)-1,1,1,Feriados!$A$2:$A$1275)</f>
        <v>47872</v>
      </c>
      <c r="B65" s="38" t="n">
        <f aca="false">$B$8</f>
        <v>13898.8161017983</v>
      </c>
      <c r="C65" s="38" t="n">
        <f aca="false">E64*$E$3</f>
        <v>468.688240006686</v>
      </c>
      <c r="D65" s="38" t="n">
        <f aca="false">B65-C65</f>
        <v>13430.1278617916</v>
      </c>
      <c r="E65" s="38" t="n">
        <f aca="false">MAX(0,E64-D65)</f>
        <v>27325.3712692246</v>
      </c>
      <c r="G65" s="46" t="n">
        <f aca="false">WORKDAY.INTL(EDATE($I$2,58)-1,1,1,Feriados!$A$2:$A$1275)</f>
        <v>47872</v>
      </c>
      <c r="H65" s="38" t="n">
        <f aca="false">I65+J65</f>
        <v>10345</v>
      </c>
      <c r="I65" s="38" t="n">
        <f aca="false">K64*$K$3</f>
        <v>345</v>
      </c>
      <c r="J65" s="38" t="n">
        <f aca="false">$J$8</f>
        <v>10000</v>
      </c>
      <c r="K65" s="38" t="n">
        <f aca="false">MAX(0,K64-J65)</f>
        <v>20000</v>
      </c>
    </row>
    <row r="66" customFormat="false" ht="15" hidden="false" customHeight="true" outlineLevel="0" collapsed="false">
      <c r="A66" s="46" t="n">
        <f aca="false">WORKDAY.INTL(EDATE($C$2,59)-1,1,1,Feriados!$A$2:$A$1275)</f>
        <v>47905</v>
      </c>
      <c r="B66" s="38" t="n">
        <f aca="false">$B$8</f>
        <v>13898.8161017983</v>
      </c>
      <c r="C66" s="38" t="n">
        <f aca="false">E65*$E$3</f>
        <v>314.241769596083</v>
      </c>
      <c r="D66" s="38" t="n">
        <f aca="false">B66-C66</f>
        <v>13584.5743322022</v>
      </c>
      <c r="E66" s="38" t="n">
        <f aca="false">MAX(0,E65-D66)</f>
        <v>13740.7969370224</v>
      </c>
      <c r="G66" s="46" t="n">
        <f aca="false">WORKDAY.INTL(EDATE($I$2,59)-1,1,1,Feriados!$A$2:$A$1275)</f>
        <v>47905</v>
      </c>
      <c r="H66" s="38" t="n">
        <f aca="false">I66+J66</f>
        <v>10230</v>
      </c>
      <c r="I66" s="38" t="n">
        <f aca="false">K65*$K$3</f>
        <v>230</v>
      </c>
      <c r="J66" s="38" t="n">
        <f aca="false">$J$8</f>
        <v>10000</v>
      </c>
      <c r="K66" s="38" t="n">
        <f aca="false">MAX(0,K65-J66)</f>
        <v>10000</v>
      </c>
    </row>
    <row r="67" customFormat="false" ht="15" hidden="false" customHeight="true" outlineLevel="0" collapsed="false">
      <c r="A67" s="47" t="n">
        <f aca="false">WORKDAY.INTL(EDATE($C$2,60)-1,1,1,Feriados!$A$2:$A$1275)</f>
        <v>47931</v>
      </c>
      <c r="B67" s="48" t="n">
        <f aca="false">$B$8</f>
        <v>13898.8161017983</v>
      </c>
      <c r="C67" s="48" t="n">
        <f aca="false">E66*$E$3</f>
        <v>158.019164775758</v>
      </c>
      <c r="D67" s="48" t="n">
        <f aca="false">B67-C67</f>
        <v>13740.7969370225</v>
      </c>
      <c r="E67" s="48" t="n">
        <f aca="false">MAX(0,E66-D67)</f>
        <v>0</v>
      </c>
      <c r="G67" s="47" t="n">
        <f aca="false">WORKDAY.INTL(EDATE($I$2,60)-1,1,1,Feriados!$A$2:$A$1275)</f>
        <v>47931</v>
      </c>
      <c r="H67" s="48" t="n">
        <f aca="false">I67+J67</f>
        <v>10115</v>
      </c>
      <c r="I67" s="48" t="n">
        <f aca="false">K66*$K$3</f>
        <v>115</v>
      </c>
      <c r="J67" s="48" t="n">
        <f aca="false">$J$8</f>
        <v>10000</v>
      </c>
      <c r="K67" s="48" t="n">
        <f aca="false">MAX(0,K66-J67)</f>
        <v>0</v>
      </c>
    </row>
    <row r="68" customFormat="false" ht="15" hidden="false" customHeight="true" outlineLevel="0" collapsed="false">
      <c r="C68" s="49" t="s">
        <v>48</v>
      </c>
      <c r="D68" s="38" t="n">
        <f aca="false">SUM(C8:C67)</f>
        <v>233928.966107897</v>
      </c>
      <c r="I68" s="49" t="s">
        <v>48</v>
      </c>
      <c r="J68" s="38" t="n">
        <f aca="false">SUM(I8:I67)</f>
        <v>210450</v>
      </c>
    </row>
  </sheetData>
  <mergeCells count="2">
    <mergeCell ref="A1:E1"/>
    <mergeCell ref="G1:M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2" width="41"/>
    <col collapsed="false" customWidth="true" hidden="false" outlineLevel="0" max="2" min="2" style="2" width="20.29"/>
    <col collapsed="false" customWidth="true" hidden="false" outlineLevel="0" max="3" min="3" style="2" width="17.3"/>
    <col collapsed="false" customWidth="true" hidden="false" outlineLevel="0" max="4" min="4" style="2" width="17.86"/>
    <col collapsed="false" customWidth="true" hidden="false" outlineLevel="0" max="5" min="5" style="2" width="17.57"/>
    <col collapsed="false" customWidth="true" hidden="false" outlineLevel="0" max="7" min="6" style="2" width="18"/>
    <col collapsed="false" customWidth="true" hidden="false" outlineLevel="0" max="8" min="8" style="2" width="16.29"/>
    <col collapsed="false" customWidth="true" hidden="false" outlineLevel="0" max="9" min="9" style="2" width="17.86"/>
    <col collapsed="false" customWidth="true" hidden="false" outlineLevel="0" max="11" min="10" style="2" width="16.14"/>
    <col collapsed="false" customWidth="true" hidden="false" outlineLevel="0" max="12" min="12" style="2" width="19.43"/>
    <col collapsed="false" customWidth="true" hidden="false" outlineLevel="0" max="13" min="13" style="2" width="14.43"/>
    <col collapsed="false" customWidth="true" hidden="false" outlineLevel="0" max="14" min="14" style="2" width="16.14"/>
    <col collapsed="false" customWidth="true" hidden="false" outlineLevel="0" max="15" min="15" style="2" width="17"/>
    <col collapsed="false" customWidth="true" hidden="false" outlineLevel="0" max="16" min="16" style="50" width="14.57"/>
    <col collapsed="false" customWidth="true" hidden="false" outlineLevel="0" max="17" min="17" style="2" width="17.57"/>
    <col collapsed="false" customWidth="true" hidden="false" outlineLevel="0" max="18" min="18" style="2" width="16.57"/>
    <col collapsed="false" customWidth="true" hidden="false" outlineLevel="0" max="20" min="19" style="2" width="14.57"/>
    <col collapsed="false" customWidth="true" hidden="false" outlineLevel="0" max="21" min="21" style="2" width="16"/>
    <col collapsed="false" customWidth="true" hidden="false" outlineLevel="0" max="23" min="22" style="2" width="14.57"/>
    <col collapsed="false" customWidth="true" hidden="false" outlineLevel="0" max="24" min="24" style="2" width="17.86"/>
    <col collapsed="false" customWidth="true" hidden="false" outlineLevel="0" max="25" min="25" style="2" width="16.57"/>
    <col collapsed="false" customWidth="true" hidden="false" outlineLevel="0" max="26" min="26" style="2" width="14.57"/>
    <col collapsed="false" customWidth="true" hidden="false" outlineLevel="0" max="27" min="27" style="2" width="16"/>
    <col collapsed="false" customWidth="true" hidden="false" outlineLevel="0" max="30" min="28" style="2" width="14.57"/>
    <col collapsed="false" customWidth="true" hidden="false" outlineLevel="0" max="31" min="31" style="2" width="19.43"/>
    <col collapsed="false" customWidth="true" hidden="false" outlineLevel="0" max="32" min="32" style="2" width="17.57"/>
    <col collapsed="false" customWidth="true" hidden="false" outlineLevel="0" max="33" min="33" style="2" width="16.43"/>
    <col collapsed="false" customWidth="true" hidden="false" outlineLevel="0" max="37" min="34" style="2" width="14.57"/>
    <col collapsed="false" customWidth="true" hidden="false" outlineLevel="0" max="38" min="38" style="2" width="18.43"/>
    <col collapsed="false" customWidth="true" hidden="false" outlineLevel="0" max="39" min="39" style="2" width="16.43"/>
    <col collapsed="false" customWidth="true" hidden="false" outlineLevel="0" max="44" min="40" style="2" width="14.57"/>
    <col collapsed="false" customWidth="true" hidden="false" outlineLevel="0" max="45" min="45" style="2" width="17.3"/>
    <col collapsed="false" customWidth="true" hidden="false" outlineLevel="0" max="46" min="46" style="2" width="16.72"/>
    <col collapsed="false" customWidth="true" hidden="false" outlineLevel="0" max="48" min="47" style="2" width="14.57"/>
    <col collapsed="false" customWidth="true" hidden="false" outlineLevel="0" max="49" min="49" style="2" width="16.43"/>
    <col collapsed="false" customWidth="true" hidden="false" outlineLevel="0" max="51" min="50" style="2" width="14.57"/>
    <col collapsed="false" customWidth="true" hidden="false" outlineLevel="0" max="52" min="52" style="2" width="17.57"/>
    <col collapsed="false" customWidth="true" hidden="false" outlineLevel="0" max="53" min="53" style="2" width="16.72"/>
    <col collapsed="false" customWidth="true" hidden="false" outlineLevel="0" max="54" min="54" style="2" width="14.57"/>
    <col collapsed="false" customWidth="true" hidden="false" outlineLevel="0" max="55" min="55" style="2" width="16.43"/>
    <col collapsed="false" customWidth="true" hidden="false" outlineLevel="0" max="58" min="56" style="2" width="14.57"/>
    <col collapsed="false" customWidth="true" hidden="false" outlineLevel="0" max="59" min="59" style="2" width="17.86"/>
    <col collapsed="false" customWidth="true" hidden="false" outlineLevel="0" max="60" min="60" style="2" width="17"/>
    <col collapsed="false" customWidth="true" hidden="false" outlineLevel="0" max="61" min="61" style="2" width="14.57"/>
    <col collapsed="false" customWidth="true" hidden="false" outlineLevel="0" max="62" min="62" style="2" width="16.43"/>
    <col collapsed="false" customWidth="true" hidden="false" outlineLevel="0" max="63" min="63" style="2" width="14.57"/>
    <col collapsed="false" customWidth="true" hidden="false" outlineLevel="0" max="64" min="64" style="2" width="11.86"/>
    <col collapsed="false" customWidth="true" hidden="false" outlineLevel="0" max="65" min="65" style="2" width="14.57"/>
    <col collapsed="false" customWidth="true" hidden="false" outlineLevel="0" max="67" min="66" style="2" width="17.57"/>
    <col collapsed="false" customWidth="true" hidden="false" outlineLevel="0" max="68" min="68" style="2" width="14.57"/>
    <col collapsed="false" customWidth="true" hidden="false" outlineLevel="0" max="69" min="69" style="2" width="16.43"/>
    <col collapsed="false" customWidth="true" hidden="false" outlineLevel="0" max="70" min="70" style="2" width="14.57"/>
    <col collapsed="false" customWidth="true" hidden="false" outlineLevel="0" max="71" min="71" style="2" width="10.29"/>
    <col collapsed="false" customWidth="true" hidden="false" outlineLevel="0" max="72" min="72" style="2" width="14.57"/>
    <col collapsed="false" customWidth="true" hidden="false" outlineLevel="0" max="73" min="73" style="2" width="19.43"/>
    <col collapsed="false" customWidth="true" hidden="false" outlineLevel="0" max="74" min="74" style="2" width="16.14"/>
    <col collapsed="false" customWidth="true" hidden="false" outlineLevel="0" max="75" min="75" style="2" width="14.57"/>
    <col collapsed="false" customWidth="true" hidden="false" outlineLevel="0" max="76" min="76" style="2" width="16.43"/>
    <col collapsed="false" customWidth="true" hidden="false" outlineLevel="0" max="77" min="77" style="2" width="14.57"/>
    <col collapsed="false" customWidth="true" hidden="false" outlineLevel="0" max="78" min="78" style="2" width="11.15"/>
    <col collapsed="false" customWidth="true" hidden="false" outlineLevel="0" max="79" min="79" style="2" width="14.57"/>
    <col collapsed="false" customWidth="true" hidden="false" outlineLevel="0" max="81" min="80" style="2" width="19.15"/>
    <col collapsed="false" customWidth="true" hidden="false" outlineLevel="0" max="82" min="82" style="2" width="14.57"/>
    <col collapsed="false" customWidth="true" hidden="false" outlineLevel="0" max="83" min="83" style="2" width="16.43"/>
    <col collapsed="false" customWidth="true" hidden="false" outlineLevel="0" max="84" min="84" style="2" width="14.57"/>
  </cols>
  <sheetData>
    <row r="1" customFormat="false" ht="15" hidden="false" customHeight="true" outlineLevel="0" collapsed="false">
      <c r="R1" s="50"/>
    </row>
    <row r="2" customFormat="false" ht="15.75" hidden="false" customHeight="true" outlineLevel="0" collapsed="false">
      <c r="A2" s="51" t="s">
        <v>49</v>
      </c>
      <c r="B2" s="51"/>
      <c r="C2" s="51"/>
      <c r="D2" s="51"/>
      <c r="E2" s="51"/>
      <c r="F2" s="51"/>
      <c r="G2" s="51"/>
      <c r="H2" s="51"/>
      <c r="I2" s="51"/>
      <c r="J2" s="51"/>
      <c r="M2" s="2" t="s">
        <v>50</v>
      </c>
      <c r="R2" s="50"/>
    </row>
    <row r="3" customFormat="false" ht="15" hidden="false" customHeight="true" outlineLevel="0" collapsed="false">
      <c r="M3" s="2" t="s">
        <v>51</v>
      </c>
      <c r="N3" s="48" t="n">
        <v>80250000</v>
      </c>
      <c r="AQ3" s="50"/>
    </row>
    <row r="4" customFormat="false" ht="15" hidden="false" customHeight="true" outlineLevel="0" collapsed="false">
      <c r="A4" s="52" t="s">
        <v>52</v>
      </c>
      <c r="B4" s="53" t="n">
        <v>0.07</v>
      </c>
      <c r="D4" s="54" t="s">
        <v>53</v>
      </c>
      <c r="E4" s="53" t="n">
        <v>0.044</v>
      </c>
      <c r="G4" s="54" t="s">
        <v>54</v>
      </c>
      <c r="H4" s="53" t="n">
        <v>0.042</v>
      </c>
      <c r="M4" s="2" t="s">
        <v>55</v>
      </c>
      <c r="N4" s="48" t="n">
        <v>52450000</v>
      </c>
      <c r="AQ4" s="50"/>
    </row>
    <row r="5" customFormat="false" ht="15" hidden="false" customHeight="true" outlineLevel="0" collapsed="false">
      <c r="A5" s="52" t="s">
        <v>56</v>
      </c>
      <c r="B5" s="53" t="n">
        <v>0.0165</v>
      </c>
      <c r="D5" s="54" t="s">
        <v>57</v>
      </c>
      <c r="E5" s="53" t="n">
        <v>0.05</v>
      </c>
      <c r="G5" s="54" t="s">
        <v>58</v>
      </c>
      <c r="H5" s="53" t="n">
        <v>0.052</v>
      </c>
      <c r="M5" s="2" t="s">
        <v>59</v>
      </c>
      <c r="N5" s="48" t="n">
        <v>4000000</v>
      </c>
      <c r="AQ5" s="50"/>
    </row>
    <row r="6" customFormat="false" ht="15" hidden="false" customHeight="true" outlineLevel="0" collapsed="false">
      <c r="A6" s="52" t="s">
        <v>60</v>
      </c>
      <c r="B6" s="53" t="n">
        <v>0.076</v>
      </c>
      <c r="D6" s="54" t="s">
        <v>61</v>
      </c>
      <c r="E6" s="53" t="n">
        <v>0.053</v>
      </c>
      <c r="G6" s="54" t="s">
        <v>62</v>
      </c>
      <c r="H6" s="53" t="n">
        <v>0.055</v>
      </c>
      <c r="M6" s="2" t="s">
        <v>63</v>
      </c>
      <c r="N6" s="55" t="n">
        <v>0.05</v>
      </c>
    </row>
    <row r="7" customFormat="false" ht="15" hidden="false" customHeight="true" outlineLevel="0" collapsed="false">
      <c r="A7" s="52" t="s">
        <v>64</v>
      </c>
      <c r="B7" s="53" t="n">
        <v>0.022</v>
      </c>
      <c r="D7" s="54" t="s">
        <v>65</v>
      </c>
      <c r="E7" s="53"/>
      <c r="M7" s="2" t="s">
        <v>66</v>
      </c>
      <c r="N7" s="56" t="n">
        <v>10</v>
      </c>
    </row>
    <row r="8" customFormat="false" ht="15" hidden="false" customHeight="true" outlineLevel="0" collapsed="false">
      <c r="A8" s="52" t="s">
        <v>67</v>
      </c>
      <c r="B8" s="53" t="n">
        <v>0.02</v>
      </c>
      <c r="D8" s="54" t="s">
        <v>68</v>
      </c>
      <c r="E8" s="53" t="n">
        <v>0.158</v>
      </c>
      <c r="M8" s="2" t="s">
        <v>69</v>
      </c>
      <c r="N8" s="48" t="n">
        <f aca="false">E10/N7</f>
        <v>850000</v>
      </c>
    </row>
    <row r="9" customFormat="false" ht="15" hidden="false" customHeight="true" outlineLevel="0" collapsed="false">
      <c r="A9" s="52" t="s">
        <v>70</v>
      </c>
      <c r="B9" s="53" t="n">
        <v>0.03</v>
      </c>
      <c r="M9" s="2" t="s">
        <v>71</v>
      </c>
    </row>
    <row r="10" customFormat="false" ht="15" hidden="false" customHeight="true" outlineLevel="0" collapsed="false">
      <c r="A10" s="52" t="s">
        <v>72</v>
      </c>
      <c r="B10" s="53" t="n">
        <v>0.025</v>
      </c>
      <c r="D10" s="54" t="s">
        <v>73</v>
      </c>
      <c r="E10" s="38" t="n">
        <v>8500000</v>
      </c>
    </row>
    <row r="11" customFormat="false" ht="15" hidden="false" customHeight="true" outlineLevel="0" collapsed="false">
      <c r="A11" s="52" t="s">
        <v>74</v>
      </c>
      <c r="B11" s="53" t="n">
        <v>0.34</v>
      </c>
      <c r="D11" s="54" t="s">
        <v>75</v>
      </c>
      <c r="E11" s="38" t="n">
        <v>10000000</v>
      </c>
    </row>
    <row r="13" customFormat="false" ht="15.75" hidden="false" customHeight="true" outlineLevel="0" collapsed="false"/>
    <row r="14" customFormat="false" ht="15.75" hidden="false" customHeight="true" outlineLevel="0" collapsed="false">
      <c r="B14" s="57" t="s">
        <v>76</v>
      </c>
      <c r="C14" s="58" t="s">
        <v>77</v>
      </c>
      <c r="D14" s="59" t="s">
        <v>78</v>
      </c>
      <c r="E14" s="58" t="s">
        <v>79</v>
      </c>
      <c r="F14" s="59" t="s">
        <v>80</v>
      </c>
      <c r="G14" s="58" t="s">
        <v>81</v>
      </c>
      <c r="H14" s="59" t="s">
        <v>82</v>
      </c>
      <c r="I14" s="58" t="s">
        <v>83</v>
      </c>
      <c r="J14" s="59" t="s">
        <v>84</v>
      </c>
      <c r="K14" s="60" t="s">
        <v>85</v>
      </c>
    </row>
    <row r="15" customFormat="false" ht="15.75" hidden="false" customHeight="true" outlineLevel="0" collapsed="false">
      <c r="A15" s="61" t="s">
        <v>86</v>
      </c>
      <c r="B15" s="62" t="n">
        <f aca="false">$N$3</f>
        <v>80250000</v>
      </c>
      <c r="C15" s="62" t="n">
        <f aca="false">B15*(1+$E$4)</f>
        <v>83781000</v>
      </c>
      <c r="D15" s="62" t="n">
        <f aca="false">C15*(1+$E$4)</f>
        <v>87467364</v>
      </c>
      <c r="E15" s="62" t="n">
        <f aca="false">D15*(1+$E$5)</f>
        <v>91840732.2</v>
      </c>
      <c r="F15" s="62" t="n">
        <f aca="false">E15*(1+$E$5)</f>
        <v>96432768.81</v>
      </c>
      <c r="G15" s="62" t="n">
        <f aca="false">F15*(1+$E$5)</f>
        <v>101254407.2505</v>
      </c>
      <c r="H15" s="62" t="n">
        <f aca="false">G15*(1+$E$6)</f>
        <v>106620890.834777</v>
      </c>
      <c r="I15" s="62" t="n">
        <f aca="false">H15*(1+$E$6)</f>
        <v>112271798.04902</v>
      </c>
      <c r="J15" s="62" t="n">
        <f aca="false">I15*(1+$E$6)</f>
        <v>118222203.345618</v>
      </c>
      <c r="K15" s="62" t="n">
        <f aca="false">J15*(1+$E$6)</f>
        <v>124487980.122935</v>
      </c>
    </row>
    <row r="16" customFormat="false" ht="15.75" hidden="false" customHeight="true" outlineLevel="0" collapsed="false">
      <c r="A16" s="61" t="s">
        <v>87</v>
      </c>
      <c r="B16" s="38" t="n">
        <f aca="false">SUM(B17:B19)</f>
        <v>12521006.25</v>
      </c>
      <c r="C16" s="38" t="n">
        <f aca="false">SUM(C17:C19)</f>
        <v>13071930.525</v>
      </c>
      <c r="D16" s="38" t="n">
        <f aca="false">SUM(D17:D19)</f>
        <v>13647095.4681</v>
      </c>
      <c r="E16" s="38" t="n">
        <f aca="false">SUM(E17:E19)</f>
        <v>14329450.241505</v>
      </c>
      <c r="F16" s="38" t="n">
        <f aca="false">SUM(F17:F19)</f>
        <v>15045922.7535803</v>
      </c>
      <c r="G16" s="38" t="n">
        <f aca="false">SUM(G17:G19)</f>
        <v>15798218.8912593</v>
      </c>
      <c r="H16" s="38" t="n">
        <f aca="false">SUM(H17:H19)</f>
        <v>16635524.492496</v>
      </c>
      <c r="I16" s="38" t="n">
        <f aca="false">SUM(I17:I19)</f>
        <v>17517207.2905983</v>
      </c>
      <c r="J16" s="38" t="n">
        <f aca="false">SUM(J17:J19)</f>
        <v>18445619.277</v>
      </c>
      <c r="K16" s="38" t="n">
        <f aca="false">SUM(K17:K19)</f>
        <v>19423237.098681</v>
      </c>
    </row>
    <row r="17" customFormat="false" ht="15.75" hidden="false" customHeight="true" outlineLevel="0" collapsed="false">
      <c r="A17" s="63" t="s">
        <v>88</v>
      </c>
      <c r="B17" s="38" t="n">
        <f aca="false">B15*$B$4</f>
        <v>5617500</v>
      </c>
      <c r="C17" s="38" t="n">
        <f aca="false">C15*$B$4</f>
        <v>5864670</v>
      </c>
      <c r="D17" s="38" t="n">
        <f aca="false">D15*$B$4</f>
        <v>6122715.48</v>
      </c>
      <c r="E17" s="38" t="n">
        <f aca="false">E15*$B$4</f>
        <v>6428851.254</v>
      </c>
      <c r="F17" s="38" t="n">
        <f aca="false">F15*$B$4</f>
        <v>6750293.8167</v>
      </c>
      <c r="G17" s="38" t="n">
        <f aca="false">G15*$B$4</f>
        <v>7087808.507535</v>
      </c>
      <c r="H17" s="38" t="n">
        <f aca="false">H15*$B$4</f>
        <v>7463462.35843436</v>
      </c>
      <c r="I17" s="38" t="n">
        <f aca="false">I15*$B$4</f>
        <v>7859025.86343138</v>
      </c>
      <c r="J17" s="38" t="n">
        <f aca="false">J15*$B$4</f>
        <v>8275554.23419324</v>
      </c>
      <c r="K17" s="38" t="n">
        <f aca="false">K15*$B$4</f>
        <v>8714158.60860548</v>
      </c>
    </row>
    <row r="18" customFormat="false" ht="15.75" hidden="false" customHeight="true" outlineLevel="0" collapsed="false">
      <c r="A18" s="63" t="s">
        <v>89</v>
      </c>
      <c r="B18" s="38" t="n">
        <f aca="false">(B15-B17)*$B$5</f>
        <v>1231436.25</v>
      </c>
      <c r="C18" s="38" t="n">
        <f aca="false">(C15-C17)*$B$5</f>
        <v>1285619.445</v>
      </c>
      <c r="D18" s="38" t="n">
        <f aca="false">(D15-D17)*$B$5</f>
        <v>1342186.70058</v>
      </c>
      <c r="E18" s="38" t="n">
        <f aca="false">(E15-E17)*$B$5</f>
        <v>1409296.035609</v>
      </c>
      <c r="F18" s="38" t="n">
        <f aca="false">(F15-F17)*$B$5</f>
        <v>1479760.83738945</v>
      </c>
      <c r="G18" s="38" t="n">
        <f aca="false">(G15-G17)*$B$5</f>
        <v>1553748.87925892</v>
      </c>
      <c r="H18" s="38" t="n">
        <f aca="false">(H15-H17)*$B$5</f>
        <v>1636097.56985965</v>
      </c>
      <c r="I18" s="38" t="n">
        <f aca="false">(I15-I17)*$B$5</f>
        <v>1722810.74106221</v>
      </c>
      <c r="J18" s="38" t="n">
        <f aca="false">(J15-J17)*$B$5</f>
        <v>1814119.7103385</v>
      </c>
      <c r="K18" s="38" t="n">
        <f aca="false">(K15-K17)*$B$5</f>
        <v>1910268.05498644</v>
      </c>
    </row>
    <row r="19" customFormat="false" ht="15.75" hidden="false" customHeight="true" outlineLevel="0" collapsed="false">
      <c r="A19" s="63" t="s">
        <v>90</v>
      </c>
      <c r="B19" s="38" t="n">
        <f aca="false">(B15-B17)*$B$6</f>
        <v>5672070</v>
      </c>
      <c r="C19" s="38" t="n">
        <f aca="false">(C15-C17)*$B$6</f>
        <v>5921641.08</v>
      </c>
      <c r="D19" s="38" t="n">
        <f aca="false">(D15-D17)*$B$6</f>
        <v>6182193.28752</v>
      </c>
      <c r="E19" s="38" t="n">
        <f aca="false">(E15-E17)*$B$6</f>
        <v>6491302.951896</v>
      </c>
      <c r="F19" s="38" t="n">
        <f aca="false">(F15-F17)*$B$6</f>
        <v>6815868.0994908</v>
      </c>
      <c r="G19" s="38" t="n">
        <f aca="false">(G15-G17)*$B$6</f>
        <v>7156661.50446534</v>
      </c>
      <c r="H19" s="38" t="n">
        <f aca="false">(H15-H17)*$B$6</f>
        <v>7535964.564202</v>
      </c>
      <c r="I19" s="38" t="n">
        <f aca="false">(I15-I17)*$B$6</f>
        <v>7935370.68610471</v>
      </c>
      <c r="J19" s="38" t="n">
        <f aca="false">(J15-J17)*$B$6</f>
        <v>8355945.33246826</v>
      </c>
      <c r="K19" s="38" t="n">
        <f aca="false">(K15-K17)*$B$6</f>
        <v>8798810.43508908</v>
      </c>
    </row>
    <row r="20" customFormat="false" ht="15.75" hidden="false" customHeight="true" outlineLevel="0" collapsed="false">
      <c r="A20" s="61" t="s">
        <v>91</v>
      </c>
      <c r="B20" s="38" t="n">
        <f aca="false">B15-B16</f>
        <v>67728993.75</v>
      </c>
      <c r="C20" s="38" t="n">
        <f aca="false">C15-C16</f>
        <v>70709069.475</v>
      </c>
      <c r="D20" s="38" t="n">
        <f aca="false">D15-D16</f>
        <v>73820268.5319</v>
      </c>
      <c r="E20" s="38" t="n">
        <f aca="false">E15-E16</f>
        <v>77511281.958495</v>
      </c>
      <c r="F20" s="38" t="n">
        <f aca="false">F15-F16</f>
        <v>81386846.0564198</v>
      </c>
      <c r="G20" s="38" t="n">
        <f aca="false">G15-G16</f>
        <v>85456188.3592407</v>
      </c>
      <c r="H20" s="38" t="n">
        <f aca="false">H15-H16</f>
        <v>89985366.3422805</v>
      </c>
      <c r="I20" s="38" t="n">
        <f aca="false">I15-I16</f>
        <v>94754590.7584214</v>
      </c>
      <c r="J20" s="38" t="n">
        <f aca="false">J15-J16</f>
        <v>99776584.0686177</v>
      </c>
      <c r="K20" s="38" t="n">
        <f aca="false">K15-K16</f>
        <v>105064743.024254</v>
      </c>
    </row>
    <row r="21" customFormat="false" ht="15.75" hidden="false" customHeight="true" outlineLevel="0" collapsed="false">
      <c r="A21" s="63" t="s">
        <v>92</v>
      </c>
      <c r="B21" s="38" t="n">
        <f aca="false">$N$4</f>
        <v>52450000</v>
      </c>
      <c r="C21" s="38" t="n">
        <f aca="false">B21*(1+$H$4)</f>
        <v>54652900</v>
      </c>
      <c r="D21" s="38" t="n">
        <f aca="false">C21*(1+$H$4)</f>
        <v>56948321.8</v>
      </c>
      <c r="E21" s="38" t="n">
        <f aca="false">D21*(1+$H$5)</f>
        <v>59909634.5336</v>
      </c>
      <c r="F21" s="38" t="n">
        <f aca="false">E21*(1+$H$5)</f>
        <v>63024935.5293472</v>
      </c>
      <c r="G21" s="38" t="n">
        <f aca="false">F21*(1+$H$5)</f>
        <v>66302232.1768733</v>
      </c>
      <c r="H21" s="38" t="n">
        <f aca="false">G21*(1+$H$6)</f>
        <v>69948854.9466013</v>
      </c>
      <c r="I21" s="38" t="n">
        <f aca="false">H21*(1+$H$6)</f>
        <v>73796041.9686644</v>
      </c>
      <c r="J21" s="38" t="n">
        <f aca="false">I21*(1+$H$6)</f>
        <v>77854824.2769409</v>
      </c>
      <c r="K21" s="38" t="n">
        <f aca="false">J21*(1+$H$6)</f>
        <v>82136839.6121726</v>
      </c>
    </row>
    <row r="22" customFormat="false" ht="15.75" hidden="false" customHeight="true" outlineLevel="0" collapsed="false">
      <c r="A22" s="61" t="s">
        <v>93</v>
      </c>
      <c r="B22" s="38" t="n">
        <f aca="false">SUM(B23:B27)</f>
        <v>11784250</v>
      </c>
      <c r="C22" s="38" t="n">
        <f aca="false">SUM(C23:C27)</f>
        <v>12326757</v>
      </c>
      <c r="D22" s="38" t="n">
        <f aca="false">SUM(D23:D27)</f>
        <v>12894334.308</v>
      </c>
      <c r="E22" s="38" t="n">
        <f aca="false">SUM(E23:E27)</f>
        <v>13539051.0234</v>
      </c>
      <c r="F22" s="38" t="n">
        <f aca="false">SUM(F23:F27)</f>
        <v>14216003.57457</v>
      </c>
      <c r="G22" s="38" t="n">
        <f aca="false">SUM(G23:G27)</f>
        <v>14926803.7532985</v>
      </c>
      <c r="H22" s="38" t="n">
        <f aca="false">SUM(H23:H27)</f>
        <v>15702608.9734733</v>
      </c>
      <c r="I22" s="38" t="n">
        <f aca="false">SUM(I23:I27)</f>
        <v>16518766.1013799</v>
      </c>
      <c r="J22" s="38" t="n">
        <f aca="false">SUM(J23:J27)</f>
        <v>17377375.4996812</v>
      </c>
      <c r="K22" s="38" t="n">
        <f aca="false">SUM(K23:K27)</f>
        <v>18280646.9358388</v>
      </c>
    </row>
    <row r="23" customFormat="false" ht="15.75" hidden="false" customHeight="true" outlineLevel="0" collapsed="false">
      <c r="A23" s="63" t="s">
        <v>94</v>
      </c>
      <c r="B23" s="38" t="n">
        <f aca="false">$N$5</f>
        <v>4000000</v>
      </c>
      <c r="C23" s="38" t="n">
        <f aca="false">B23*(1+$N$6)</f>
        <v>4200000</v>
      </c>
      <c r="D23" s="38" t="n">
        <f aca="false">C23*(1+$N$6)</f>
        <v>4410000</v>
      </c>
      <c r="E23" s="38" t="n">
        <f aca="false">D23*(1+$N$6)</f>
        <v>4630500</v>
      </c>
      <c r="F23" s="38" t="n">
        <f aca="false">E23*(1+$N$6)</f>
        <v>4862025</v>
      </c>
      <c r="G23" s="38" t="n">
        <f aca="false">F23*(1+$N$6)</f>
        <v>5105126.25</v>
      </c>
      <c r="H23" s="38" t="n">
        <f aca="false">G23*(1+$N$6)</f>
        <v>5360382.5625</v>
      </c>
      <c r="I23" s="38" t="n">
        <f aca="false">H23*(1+$N$6)</f>
        <v>5628401.690625</v>
      </c>
      <c r="J23" s="38" t="n">
        <f aca="false">I23*(1+$N$6)</f>
        <v>5909821.77515625</v>
      </c>
      <c r="K23" s="38" t="n">
        <f aca="false">J23*(1+$N$6)</f>
        <v>6205312.86391406</v>
      </c>
    </row>
    <row r="24" customFormat="false" ht="15.75" hidden="false" customHeight="true" outlineLevel="0" collapsed="false">
      <c r="A24" s="63" t="s">
        <v>95</v>
      </c>
      <c r="B24" s="38" t="n">
        <f aca="false">B15*$B$7</f>
        <v>1765500</v>
      </c>
      <c r="C24" s="38" t="n">
        <f aca="false">C15*$B$7</f>
        <v>1843182</v>
      </c>
      <c r="D24" s="38" t="n">
        <f aca="false">D15*$B$7</f>
        <v>1924282.008</v>
      </c>
      <c r="E24" s="38" t="n">
        <f aca="false">E15*$B$7</f>
        <v>2020496.1084</v>
      </c>
      <c r="F24" s="38" t="n">
        <f aca="false">F15*$B$7</f>
        <v>2121520.91382</v>
      </c>
      <c r="G24" s="38" t="n">
        <f aca="false">G15*$B$7</f>
        <v>2227596.959511</v>
      </c>
      <c r="H24" s="38" t="n">
        <f aca="false">H15*$B$7</f>
        <v>2345659.59836508</v>
      </c>
      <c r="I24" s="38" t="n">
        <f aca="false">I15*$B$7</f>
        <v>2469979.55707843</v>
      </c>
      <c r="J24" s="38" t="n">
        <f aca="false">J15*$B$7</f>
        <v>2600888.47360359</v>
      </c>
      <c r="K24" s="38" t="n">
        <f aca="false">K15*$B$7</f>
        <v>2738735.56270458</v>
      </c>
    </row>
    <row r="25" customFormat="false" ht="15.75" hidden="false" customHeight="true" outlineLevel="0" collapsed="false">
      <c r="A25" s="63" t="s">
        <v>96</v>
      </c>
      <c r="B25" s="38" t="n">
        <f aca="false">B15*$B$8</f>
        <v>1605000</v>
      </c>
      <c r="C25" s="38" t="n">
        <f aca="false">C15*$B$8</f>
        <v>1675620</v>
      </c>
      <c r="D25" s="38" t="n">
        <f aca="false">D15*$B$8</f>
        <v>1749347.28</v>
      </c>
      <c r="E25" s="38" t="n">
        <f aca="false">E15*$B$8</f>
        <v>1836814.644</v>
      </c>
      <c r="F25" s="38" t="n">
        <f aca="false">F15*$B$8</f>
        <v>1928655.3762</v>
      </c>
      <c r="G25" s="38" t="n">
        <f aca="false">G15*$B$8</f>
        <v>2025088.14501</v>
      </c>
      <c r="H25" s="38" t="n">
        <f aca="false">H15*$B$8</f>
        <v>2132417.81669553</v>
      </c>
      <c r="I25" s="38" t="n">
        <f aca="false">I15*$B$8</f>
        <v>2245435.96098039</v>
      </c>
      <c r="J25" s="38" t="n">
        <f aca="false">J15*$B$8</f>
        <v>2364444.06691235</v>
      </c>
      <c r="K25" s="38" t="n">
        <f aca="false">K15*$B$8</f>
        <v>2489759.60245871</v>
      </c>
    </row>
    <row r="26" customFormat="false" ht="15.75" hidden="false" customHeight="true" outlineLevel="0" collapsed="false">
      <c r="A26" s="63" t="s">
        <v>97</v>
      </c>
      <c r="B26" s="38" t="n">
        <f aca="false">B15*$B$9</f>
        <v>2407500</v>
      </c>
      <c r="C26" s="38" t="n">
        <f aca="false">C15*$B$9</f>
        <v>2513430</v>
      </c>
      <c r="D26" s="38" t="n">
        <f aca="false">D15*$B$9</f>
        <v>2624020.92</v>
      </c>
      <c r="E26" s="38" t="n">
        <f aca="false">E15*$B$9</f>
        <v>2755221.966</v>
      </c>
      <c r="F26" s="38" t="n">
        <f aca="false">F15*$B$9</f>
        <v>2892983.0643</v>
      </c>
      <c r="G26" s="38" t="n">
        <f aca="false">G15*$B$9</f>
        <v>3037632.217515</v>
      </c>
      <c r="H26" s="38" t="n">
        <f aca="false">H15*$B$9</f>
        <v>3198626.7250433</v>
      </c>
      <c r="I26" s="38" t="n">
        <f aca="false">I15*$B$9</f>
        <v>3368153.94147059</v>
      </c>
      <c r="J26" s="38" t="n">
        <f aca="false">J15*$B$9</f>
        <v>3546666.10036853</v>
      </c>
      <c r="K26" s="38" t="n">
        <f aca="false">K15*$B$9</f>
        <v>3734639.40368806</v>
      </c>
    </row>
    <row r="27" customFormat="false" ht="15.75" hidden="false" customHeight="true" outlineLevel="0" collapsed="false">
      <c r="A27" s="63" t="s">
        <v>98</v>
      </c>
      <c r="B27" s="38" t="n">
        <f aca="false">B15*$B$10</f>
        <v>2006250</v>
      </c>
      <c r="C27" s="38" t="n">
        <f aca="false">C15*$B$10</f>
        <v>2094525</v>
      </c>
      <c r="D27" s="38" t="n">
        <f aca="false">D15*$B$10</f>
        <v>2186684.1</v>
      </c>
      <c r="E27" s="38" t="n">
        <f aca="false">E15*$B$10</f>
        <v>2296018.305</v>
      </c>
      <c r="F27" s="38" t="n">
        <f aca="false">F15*$B$10</f>
        <v>2410819.22025</v>
      </c>
      <c r="G27" s="38" t="n">
        <f aca="false">G15*$B$10</f>
        <v>2531360.1812625</v>
      </c>
      <c r="H27" s="38" t="n">
        <f aca="false">H15*$B$10</f>
        <v>2665522.27086941</v>
      </c>
      <c r="I27" s="38" t="n">
        <f aca="false">I15*$B$10</f>
        <v>2806794.95122549</v>
      </c>
      <c r="J27" s="38" t="n">
        <f aca="false">J15*$B$10</f>
        <v>2955555.08364044</v>
      </c>
      <c r="K27" s="38" t="n">
        <f aca="false">K15*$B$10</f>
        <v>3112199.50307339</v>
      </c>
    </row>
    <row r="28" customFormat="false" ht="15.75" hidden="false" customHeight="true" outlineLevel="0" collapsed="false">
      <c r="A28" s="61" t="s">
        <v>99</v>
      </c>
      <c r="B28" s="38" t="n">
        <f aca="false">B20-B21-B22</f>
        <v>3494743.75</v>
      </c>
      <c r="C28" s="38" t="n">
        <f aca="false">C20-C21-C22</f>
        <v>3729412.47499999</v>
      </c>
      <c r="D28" s="38" t="n">
        <f aca="false">D20-D21-D22</f>
        <v>3977612.4239</v>
      </c>
      <c r="E28" s="38" t="n">
        <f aca="false">E20-E21-E22</f>
        <v>4062596.401495</v>
      </c>
      <c r="F28" s="38" t="n">
        <f aca="false">F20-F21-F22</f>
        <v>4145906.95250255</v>
      </c>
      <c r="G28" s="38" t="n">
        <f aca="false">G20-G21-G22</f>
        <v>4227152.42906897</v>
      </c>
      <c r="H28" s="38" t="n">
        <f aca="false">H20-H21-H22</f>
        <v>4333902.4222059</v>
      </c>
      <c r="I28" s="38" t="n">
        <f aca="false">I20-I21-I22</f>
        <v>4439782.68837711</v>
      </c>
      <c r="J28" s="38" t="n">
        <f aca="false">J20-J21-J22</f>
        <v>4544384.29199564</v>
      </c>
      <c r="K28" s="38" t="n">
        <f aca="false">K20-K21-K22</f>
        <v>4647256.47624299</v>
      </c>
    </row>
    <row r="29" customFormat="false" ht="15.75" hidden="false" customHeight="true" outlineLevel="0" collapsed="false">
      <c r="A29" s="61" t="s">
        <v>100</v>
      </c>
      <c r="B29" s="53" t="n">
        <f aca="false">IFERROR(B28/B20,0)</f>
        <v>0.0515989321043176</v>
      </c>
      <c r="C29" s="53" t="n">
        <f aca="false">IFERROR(C28/C20,0)</f>
        <v>0.0527430569047238</v>
      </c>
      <c r="D29" s="53" t="n">
        <f aca="false">IFERROR(D28/D20,0)</f>
        <v>0.0538823889834694</v>
      </c>
      <c r="E29" s="53" t="n">
        <f aca="false">IFERROR(E28/E20,0)</f>
        <v>0.0524129687813756</v>
      </c>
      <c r="F29" s="53" t="n">
        <f aca="false">IFERROR(F28/F20,0)</f>
        <v>0.0509407496836588</v>
      </c>
      <c r="G29" s="53" t="n">
        <f aca="false">IFERROR(G28/G20,0)</f>
        <v>0.049465726359089</v>
      </c>
      <c r="H29" s="53" t="n">
        <f aca="false">IFERROR(H28/H20,0)</f>
        <v>0.048162302365041</v>
      </c>
      <c r="I29" s="53" t="n">
        <f aca="false">IFERROR(I28/I20,0)</f>
        <v>0.0468555945716279</v>
      </c>
      <c r="J29" s="53" t="n">
        <f aca="false">IFERROR(J28/J20,0)</f>
        <v>0.0455455990442648</v>
      </c>
      <c r="K29" s="53" t="n">
        <f aca="false">IFERROR(K28/K20,0)</f>
        <v>0.044232311834334</v>
      </c>
    </row>
    <row r="30" customFormat="false" ht="15.75" hidden="false" customHeight="true" outlineLevel="0" collapsed="false">
      <c r="A30" s="63" t="s">
        <v>101</v>
      </c>
      <c r="B30" s="38" t="n">
        <f aca="false">$N$8</f>
        <v>850000</v>
      </c>
      <c r="C30" s="38" t="n">
        <f aca="false">$N$8</f>
        <v>850000</v>
      </c>
      <c r="D30" s="38" t="n">
        <f aca="false">$N$8</f>
        <v>850000</v>
      </c>
      <c r="E30" s="38" t="n">
        <f aca="false">$N$8</f>
        <v>850000</v>
      </c>
      <c r="F30" s="38" t="n">
        <f aca="false">$N$8</f>
        <v>850000</v>
      </c>
      <c r="G30" s="38" t="n">
        <f aca="false">$N$8</f>
        <v>850000</v>
      </c>
      <c r="H30" s="38" t="n">
        <f aca="false">$N$8</f>
        <v>850000</v>
      </c>
      <c r="I30" s="38" t="n">
        <f aca="false">$N$8</f>
        <v>850000</v>
      </c>
      <c r="J30" s="38" t="n">
        <f aca="false">$N$8</f>
        <v>850000</v>
      </c>
      <c r="K30" s="38" t="n">
        <f aca="false">$N$8</f>
        <v>850000</v>
      </c>
    </row>
    <row r="31" customFormat="false" ht="15.75" hidden="false" customHeight="true" outlineLevel="0" collapsed="false">
      <c r="A31" s="63" t="s">
        <v>102</v>
      </c>
      <c r="B31" s="38" t="n">
        <f aca="false">SUM(Financiamento!C10:C21)</f>
        <v>913137.5</v>
      </c>
      <c r="C31" s="38" t="n">
        <f aca="false">SUM(Financiamento!C22:C33)</f>
        <v>817437.499999999</v>
      </c>
      <c r="D31" s="38" t="n">
        <f aca="false">SUM(Financiamento!C34:C45)</f>
        <v>721737.499999999</v>
      </c>
      <c r="E31" s="38" t="n">
        <f aca="false">SUM(Financiamento!C46:C57)</f>
        <v>626037.499999998</v>
      </c>
      <c r="F31" s="38" t="n">
        <f aca="false">SUM(Financiamento!C58:C69)</f>
        <v>530337.499999998</v>
      </c>
      <c r="G31" s="38" t="n">
        <f aca="false">SUM(Financiamento!C70:C81)</f>
        <v>434637.499999998</v>
      </c>
      <c r="H31" s="38" t="n">
        <f aca="false">SUM(Financiamento!C82:C93)</f>
        <v>338937.499999999</v>
      </c>
      <c r="I31" s="38" t="n">
        <f aca="false">SUM(Financiamento!C94:C105)</f>
        <v>243237.499999999</v>
      </c>
      <c r="J31" s="38" t="n">
        <f aca="false">SUM(Financiamento!C106:C117)</f>
        <v>147537.499999999</v>
      </c>
      <c r="K31" s="38" t="n">
        <f aca="false">SUM(Financiamento!C118:C129)</f>
        <v>51837.4999999985</v>
      </c>
      <c r="L31" s="64"/>
    </row>
    <row r="32" customFormat="false" ht="15.75" hidden="false" customHeight="true" outlineLevel="0" collapsed="false">
      <c r="A32" s="63" t="s">
        <v>103</v>
      </c>
      <c r="B32" s="38" t="n">
        <f aca="false">B28-B30-B31</f>
        <v>1731606.25</v>
      </c>
      <c r="C32" s="38" t="n">
        <f aca="false">C28-C30-C31</f>
        <v>2061974.97499999</v>
      </c>
      <c r="D32" s="38" t="n">
        <f aca="false">D28-D30-D31</f>
        <v>2405874.9239</v>
      </c>
      <c r="E32" s="38" t="n">
        <f aca="false">E28-E30-E31</f>
        <v>2586558.901495</v>
      </c>
      <c r="F32" s="38" t="n">
        <f aca="false">F28-F30-F31</f>
        <v>2765569.45250255</v>
      </c>
      <c r="G32" s="38" t="n">
        <f aca="false">G28-G30-G31</f>
        <v>2942514.92906898</v>
      </c>
      <c r="H32" s="38" t="n">
        <f aca="false">H28-H30-H31</f>
        <v>3144964.9222059</v>
      </c>
      <c r="I32" s="38" t="n">
        <f aca="false">I28-I30-I31</f>
        <v>3346545.18837711</v>
      </c>
      <c r="J32" s="38" t="n">
        <f aca="false">J28-J30-J31</f>
        <v>3546846.79199564</v>
      </c>
      <c r="K32" s="38" t="n">
        <f aca="false">K28-K30-K31</f>
        <v>3745418.97624299</v>
      </c>
    </row>
    <row r="33" customFormat="false" ht="15.75" hidden="false" customHeight="true" outlineLevel="0" collapsed="false">
      <c r="A33" s="63" t="s">
        <v>104</v>
      </c>
      <c r="B33" s="38" t="n">
        <f aca="false">IF(B32&gt;0,B32*$B$11,0)</f>
        <v>588746.125</v>
      </c>
      <c r="C33" s="38" t="n">
        <f aca="false">IF(C32&gt;0,C32*$B$11,0)</f>
        <v>701071.491499998</v>
      </c>
      <c r="D33" s="38" t="n">
        <f aca="false">IF(D32&gt;0,D32*$B$11,0)</f>
        <v>817997.474126</v>
      </c>
      <c r="E33" s="38" t="n">
        <f aca="false">IF(E32&gt;0,E32*$B$11,0)</f>
        <v>879430.0265083</v>
      </c>
      <c r="F33" s="38" t="n">
        <f aca="false">IF(F32&gt;0,F32*$B$11,0)</f>
        <v>940293.613850867</v>
      </c>
      <c r="G33" s="38" t="n">
        <f aca="false">IF(G32&gt;0,G32*$B$11,0)</f>
        <v>1000455.07588345</v>
      </c>
      <c r="H33" s="38" t="n">
        <f aca="false">IF(H32&gt;0,H32*$B$11,0)</f>
        <v>1069288.07355001</v>
      </c>
      <c r="I33" s="38" t="n">
        <f aca="false">IF(I32&gt;0,I32*$B$11,0)</f>
        <v>1137825.36404822</v>
      </c>
      <c r="J33" s="38" t="n">
        <f aca="false">IF(J32&gt;0,J32*$B$11,0)</f>
        <v>1205927.90927852</v>
      </c>
      <c r="K33" s="38" t="n">
        <f aca="false">IF(K32&gt;0,K32*$B$11,0)</f>
        <v>1273442.45192262</v>
      </c>
    </row>
    <row r="34" customFormat="false" ht="15.75" hidden="false" customHeight="true" outlineLevel="0" collapsed="false">
      <c r="A34" s="61" t="s">
        <v>105</v>
      </c>
      <c r="B34" s="38" t="n">
        <f aca="false">B32-B33+B30</f>
        <v>1992860.125</v>
      </c>
      <c r="C34" s="38" t="n">
        <f aca="false">C32-C33+C30</f>
        <v>2210903.4835</v>
      </c>
      <c r="D34" s="38" t="n">
        <f aca="false">D32-D33+D30</f>
        <v>2437877.449774</v>
      </c>
      <c r="E34" s="38" t="n">
        <f aca="false">E32-E33+E30</f>
        <v>2557128.8749867</v>
      </c>
      <c r="F34" s="38" t="n">
        <f aca="false">F32-F33+F30</f>
        <v>2675275.83865168</v>
      </c>
      <c r="G34" s="38" t="n">
        <f aca="false">G32-G33+G30</f>
        <v>2792059.85318552</v>
      </c>
      <c r="H34" s="38" t="n">
        <f aca="false">H32-H33+H30</f>
        <v>2925676.84865589</v>
      </c>
      <c r="I34" s="38" t="n">
        <f aca="false">I32-I33+I30</f>
        <v>3058719.82432889</v>
      </c>
      <c r="J34" s="38" t="n">
        <f aca="false">J32-J33+J30</f>
        <v>3190918.88271712</v>
      </c>
      <c r="K34" s="38" t="n">
        <f aca="false">K32-K33+K30</f>
        <v>3321976.52432038</v>
      </c>
    </row>
    <row r="35" customFormat="false" ht="15" hidden="false" customHeight="true" outlineLevel="0" collapsed="false">
      <c r="C35" s="48"/>
      <c r="D35" s="48"/>
      <c r="E35" s="48"/>
      <c r="F35" s="48"/>
      <c r="G35" s="55"/>
      <c r="L35" s="64"/>
    </row>
    <row r="36" customFormat="false" ht="15.75" hidden="false" customHeight="true" outlineLevel="0" collapsed="false">
      <c r="B36" s="65"/>
      <c r="C36" s="65"/>
      <c r="D36" s="65"/>
      <c r="E36" s="65"/>
      <c r="F36" s="65"/>
      <c r="G36" s="65"/>
      <c r="H36" s="65"/>
      <c r="I36" s="65"/>
      <c r="J36" s="65"/>
      <c r="K36" s="65"/>
    </row>
    <row r="37" customFormat="false" ht="15" hidden="false" customHeight="true" outlineLevel="0" collapsed="false">
      <c r="A37" s="66" t="s">
        <v>75</v>
      </c>
      <c r="B37" s="67" t="s">
        <v>76</v>
      </c>
      <c r="C37" s="67" t="s">
        <v>77</v>
      </c>
      <c r="D37" s="67" t="s">
        <v>78</v>
      </c>
      <c r="E37" s="67" t="s">
        <v>79</v>
      </c>
      <c r="F37" s="67" t="s">
        <v>80</v>
      </c>
      <c r="G37" s="67" t="s">
        <v>81</v>
      </c>
      <c r="H37" s="67" t="s">
        <v>82</v>
      </c>
      <c r="I37" s="67" t="s">
        <v>83</v>
      </c>
      <c r="J37" s="67" t="s">
        <v>84</v>
      </c>
      <c r="K37" s="68" t="s">
        <v>85</v>
      </c>
    </row>
    <row r="38" customFormat="false" ht="15.75" hidden="false" customHeight="true" outlineLevel="0" collapsed="false">
      <c r="A38" s="69" t="n">
        <f aca="false">-$E$11</f>
        <v>-10000000</v>
      </c>
      <c r="B38" s="70" t="n">
        <f aca="false">B34</f>
        <v>1992860.125</v>
      </c>
      <c r="C38" s="70" t="n">
        <f aca="false">C34</f>
        <v>2210903.4835</v>
      </c>
      <c r="D38" s="70" t="n">
        <f aca="false">D34</f>
        <v>2437877.449774</v>
      </c>
      <c r="E38" s="70" t="n">
        <f aca="false">E34</f>
        <v>2557128.8749867</v>
      </c>
      <c r="F38" s="70" t="n">
        <f aca="false">F34</f>
        <v>2675275.83865168</v>
      </c>
      <c r="G38" s="70" t="n">
        <f aca="false">G34</f>
        <v>2792059.85318552</v>
      </c>
      <c r="H38" s="70" t="n">
        <f aca="false">H34</f>
        <v>2925676.84865589</v>
      </c>
      <c r="I38" s="70" t="n">
        <f aca="false">I34</f>
        <v>3058719.82432889</v>
      </c>
      <c r="J38" s="70" t="n">
        <f aca="false">J34</f>
        <v>3190918.88271712</v>
      </c>
      <c r="K38" s="70" t="n">
        <f aca="false">K34</f>
        <v>3321976.52432038</v>
      </c>
    </row>
    <row r="39" customFormat="false" ht="15" hidden="false" customHeight="true" outlineLevel="0" collapsed="false">
      <c r="A39" s="71" t="s">
        <v>106</v>
      </c>
      <c r="B39" s="72" t="n">
        <f aca="false">B34/(1+$E$8)^1</f>
        <v>1720950.02158895</v>
      </c>
      <c r="C39" s="72" t="n">
        <f aca="false">C34/(1+$E$8)^2</f>
        <v>1648741.86294337</v>
      </c>
      <c r="D39" s="72" t="n">
        <f aca="false">D34/(1+$E$8)^3</f>
        <v>1569951.3406111</v>
      </c>
      <c r="E39" s="72" t="n">
        <f aca="false">E34/(1+$E$8)^4</f>
        <v>1422061.49985772</v>
      </c>
      <c r="F39" s="72" t="n">
        <f aca="false">F34/(1+$E$8)^5</f>
        <v>1284771.13384945</v>
      </c>
      <c r="G39" s="72" t="n">
        <f aca="false">G34/(1+$E$8)^6</f>
        <v>1157906.16874814</v>
      </c>
      <c r="H39" s="72" t="n">
        <f aca="false">H34/(1+$E$8)^7</f>
        <v>1047771.15772891</v>
      </c>
      <c r="I39" s="72" t="n">
        <f aca="false">I34/(1+$E$8)^8</f>
        <v>945956.624141146</v>
      </c>
      <c r="J39" s="72" t="n">
        <f aca="false">J34/(1+$E$8)^9</f>
        <v>852194.504934645</v>
      </c>
      <c r="K39" s="72" t="n">
        <f aca="false">K34/(1+$E$8)^10</f>
        <v>766144.988541347</v>
      </c>
    </row>
    <row r="40" customFormat="false" ht="15" hidden="false" customHeight="true" outlineLevel="0" collapsed="false">
      <c r="A40" s="17" t="s">
        <v>107</v>
      </c>
      <c r="B40" s="72" t="n">
        <f aca="false">$A$38+B39</f>
        <v>-8279049.97841105</v>
      </c>
      <c r="C40" s="72" t="n">
        <f aca="false">B40+C39</f>
        <v>-6630308.11546768</v>
      </c>
      <c r="D40" s="72" t="n">
        <f aca="false">C40+D39</f>
        <v>-5060356.77485658</v>
      </c>
      <c r="E40" s="72" t="n">
        <f aca="false">D40+E39</f>
        <v>-3638295.27499886</v>
      </c>
      <c r="F40" s="72" t="n">
        <f aca="false">E40+F39</f>
        <v>-2353524.14114941</v>
      </c>
      <c r="G40" s="72" t="n">
        <f aca="false">F40+G39</f>
        <v>-1195617.97240127</v>
      </c>
      <c r="H40" s="72" t="n">
        <f aca="false">G40+H39</f>
        <v>-147846.814672355</v>
      </c>
      <c r="I40" s="72" t="n">
        <f aca="false">H40+I39</f>
        <v>798109.809468791</v>
      </c>
      <c r="J40" s="72" t="n">
        <f aca="false">I40+J39</f>
        <v>1650304.31440344</v>
      </c>
      <c r="K40" s="72" t="n">
        <f aca="false">J40+K39</f>
        <v>2416449.30294478</v>
      </c>
    </row>
    <row r="41" customFormat="false" ht="15" hidden="false" customHeight="true" outlineLevel="0" collapsed="false">
      <c r="A41" s="73" t="s">
        <v>108</v>
      </c>
      <c r="B41" s="53" t="n">
        <f aca="false">$E$8</f>
        <v>0.158</v>
      </c>
      <c r="E41" s="48"/>
      <c r="F41" s="48"/>
      <c r="G41" s="55"/>
      <c r="K41" s="74"/>
    </row>
    <row r="42" customFormat="false" ht="15" hidden="false" customHeight="true" outlineLevel="0" collapsed="false">
      <c r="A42" s="75" t="s">
        <v>109</v>
      </c>
      <c r="B42" s="53" t="n">
        <f aca="false">IRR(A38:K38)</f>
        <v>0.214119167301638</v>
      </c>
      <c r="C42" s="72"/>
      <c r="E42" s="48"/>
      <c r="F42" s="48"/>
      <c r="G42" s="55"/>
    </row>
    <row r="43" customFormat="false" ht="15" hidden="false" customHeight="true" outlineLevel="0" collapsed="false">
      <c r="A43" s="75" t="s">
        <v>110</v>
      </c>
      <c r="B43" s="38" t="n">
        <f aca="false">NPV(B41,B38:K38)+A38</f>
        <v>2416449.30294478</v>
      </c>
      <c r="C43" s="48"/>
      <c r="E43" s="48"/>
      <c r="F43" s="48"/>
      <c r="G43" s="55"/>
    </row>
    <row r="44" customFormat="false" ht="15" hidden="false" customHeight="true" outlineLevel="0" collapsed="false">
      <c r="A44" s="75" t="s">
        <v>111</v>
      </c>
      <c r="B44" s="76" t="n">
        <f aca="false">IF(K40&lt;0,"Não recupera em 10 anos",MATCH(TRUE(),INDEX(B40:K40&gt;=0,0),0)-1+ABS(INDEX(B40:K40,MATCH(TRUE(),INDEX(B40:K40&gt;=0,0),0)-1))/INDEX(B39:K39,MATCH(TRUE(),INDEX(B40:K40&gt;=0,0),0)))</f>
        <v>7.15629343978281</v>
      </c>
      <c r="C44" s="48"/>
      <c r="D44" s="48"/>
      <c r="E44" s="48"/>
      <c r="F44" s="48"/>
      <c r="G44" s="55"/>
    </row>
    <row r="45" customFormat="false" ht="15" hidden="false" customHeight="true" outlineLevel="0" collapsed="false">
      <c r="A45" s="75" t="s">
        <v>112</v>
      </c>
      <c r="B45" s="38" t="n">
        <f aca="false">SUM(B39:K39)</f>
        <v>12416449.3029448</v>
      </c>
      <c r="C45" s="48"/>
      <c r="D45" s="48"/>
      <c r="E45" s="48"/>
      <c r="F45" s="48"/>
      <c r="G45" s="48"/>
      <c r="H45" s="48"/>
      <c r="I45" s="48"/>
      <c r="J45" s="48"/>
      <c r="K45" s="48"/>
    </row>
  </sheetData>
  <mergeCells count="1">
    <mergeCell ref="A2:J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13" width="9.43"/>
    <col collapsed="false" customWidth="true" hidden="false" outlineLevel="0" max="2" min="2" style="13" width="16.29"/>
    <col collapsed="false" customWidth="true" hidden="false" outlineLevel="0" max="3" min="3" style="13" width="17.86"/>
    <col collapsed="false" customWidth="true" hidden="false" outlineLevel="0" max="4" min="4" style="13" width="15.57"/>
    <col collapsed="false" customWidth="true" hidden="false" outlineLevel="0" max="5" min="5" style="13" width="19.43"/>
    <col collapsed="false" customWidth="false" hidden="false" outlineLevel="0" max="16384" min="6" style="13" width="9.14"/>
  </cols>
  <sheetData>
    <row r="1" customFormat="false" ht="15.75" hidden="false" customHeight="true" outlineLevel="0" collapsed="false"/>
    <row r="2" customFormat="false" ht="15.75" hidden="false" customHeight="true" outlineLevel="0" collapsed="false">
      <c r="A2" s="77"/>
      <c r="B2" s="77"/>
      <c r="C2" s="77"/>
      <c r="D2" s="77"/>
      <c r="E2" s="77"/>
    </row>
    <row r="4" customFormat="false" ht="15" hidden="false" customHeight="true" outlineLevel="0" collapsed="false">
      <c r="B4" s="39" t="s">
        <v>113</v>
      </c>
      <c r="C4" s="38" t="n">
        <v>7250000</v>
      </c>
    </row>
    <row r="5" customFormat="false" ht="15" hidden="false" customHeight="true" outlineLevel="0" collapsed="false">
      <c r="B5" s="39" t="s">
        <v>114</v>
      </c>
      <c r="C5" s="53" t="n">
        <v>0.011</v>
      </c>
    </row>
    <row r="6" customFormat="false" ht="15" hidden="false" customHeight="true" outlineLevel="0" collapsed="false">
      <c r="B6" s="39" t="s">
        <v>115</v>
      </c>
      <c r="C6" s="78" t="n">
        <v>120</v>
      </c>
    </row>
    <row r="8" customFormat="false" ht="15" hidden="false" customHeight="true" outlineLevel="0" collapsed="false">
      <c r="A8" s="39" t="s">
        <v>116</v>
      </c>
      <c r="B8" s="39" t="s">
        <v>117</v>
      </c>
      <c r="C8" s="39" t="s">
        <v>118</v>
      </c>
      <c r="D8" s="39" t="s">
        <v>119</v>
      </c>
      <c r="E8" s="39" t="s">
        <v>120</v>
      </c>
      <c r="F8" s="79"/>
    </row>
    <row r="9" customFormat="false" ht="15" hidden="false" customHeight="true" outlineLevel="0" collapsed="false">
      <c r="A9" s="80" t="n">
        <v>0</v>
      </c>
      <c r="B9" s="81" t="n">
        <v>0</v>
      </c>
      <c r="C9" s="81" t="n">
        <v>0</v>
      </c>
      <c r="D9" s="81" t="n">
        <v>0</v>
      </c>
      <c r="E9" s="38" t="n">
        <f aca="false">$C$4</f>
        <v>7250000</v>
      </c>
    </row>
    <row r="10" customFormat="false" ht="15" hidden="false" customHeight="true" outlineLevel="0" collapsed="false">
      <c r="A10" s="80" t="n">
        <v>1</v>
      </c>
      <c r="B10" s="38" t="n">
        <f aca="false">C10+D10</f>
        <v>140166.666666667</v>
      </c>
      <c r="C10" s="38" t="n">
        <f aca="false">E9*$C$5</f>
        <v>79750</v>
      </c>
      <c r="D10" s="38" t="n">
        <f aca="false">$C$4/$C$6</f>
        <v>60416.6666666667</v>
      </c>
      <c r="E10" s="38" t="n">
        <f aca="false">MAX(0,E9-D10)</f>
        <v>7189583.33333333</v>
      </c>
    </row>
    <row r="11" customFormat="false" ht="15" hidden="false" customHeight="true" outlineLevel="0" collapsed="false">
      <c r="A11" s="80" t="n">
        <v>2</v>
      </c>
      <c r="B11" s="38" t="n">
        <f aca="false">C11+D11</f>
        <v>139502.083333333</v>
      </c>
      <c r="C11" s="38" t="n">
        <f aca="false">E10*$C$5</f>
        <v>79085.4166666667</v>
      </c>
      <c r="D11" s="38" t="n">
        <f aca="false">$C$4/$C$6</f>
        <v>60416.6666666667</v>
      </c>
      <c r="E11" s="38" t="n">
        <f aca="false">MAX(0,E10-D11)</f>
        <v>7129166.66666667</v>
      </c>
    </row>
    <row r="12" customFormat="false" ht="15" hidden="false" customHeight="true" outlineLevel="0" collapsed="false">
      <c r="A12" s="80" t="n">
        <v>3</v>
      </c>
      <c r="B12" s="38" t="n">
        <f aca="false">C12+D12</f>
        <v>138837.5</v>
      </c>
      <c r="C12" s="38" t="n">
        <f aca="false">E11*$C$5</f>
        <v>78420.8333333333</v>
      </c>
      <c r="D12" s="38" t="n">
        <f aca="false">$C$4/$C$6</f>
        <v>60416.6666666667</v>
      </c>
      <c r="E12" s="38" t="n">
        <f aca="false">MAX(0,E11-D12)</f>
        <v>7068750</v>
      </c>
    </row>
    <row r="13" customFormat="false" ht="15" hidden="false" customHeight="true" outlineLevel="0" collapsed="false">
      <c r="A13" s="80" t="n">
        <v>4</v>
      </c>
      <c r="B13" s="38" t="n">
        <f aca="false">C13+D13</f>
        <v>138172.916666667</v>
      </c>
      <c r="C13" s="38" t="n">
        <f aca="false">E12*$C$5</f>
        <v>77756.25</v>
      </c>
      <c r="D13" s="38" t="n">
        <f aca="false">$C$4/$C$6</f>
        <v>60416.6666666667</v>
      </c>
      <c r="E13" s="38" t="n">
        <f aca="false">MAX(0,E12-D13)</f>
        <v>7008333.33333333</v>
      </c>
    </row>
    <row r="14" customFormat="false" ht="15" hidden="false" customHeight="true" outlineLevel="0" collapsed="false">
      <c r="A14" s="80" t="n">
        <v>5</v>
      </c>
      <c r="B14" s="38" t="n">
        <f aca="false">C14+D14</f>
        <v>137508.333333333</v>
      </c>
      <c r="C14" s="38" t="n">
        <f aca="false">E13*$C$5</f>
        <v>77091.6666666666</v>
      </c>
      <c r="D14" s="38" t="n">
        <f aca="false">$C$4/$C$6</f>
        <v>60416.6666666667</v>
      </c>
      <c r="E14" s="38" t="n">
        <f aca="false">MAX(0,E13-D14)</f>
        <v>6947916.66666667</v>
      </c>
    </row>
    <row r="15" customFormat="false" ht="15" hidden="false" customHeight="true" outlineLevel="0" collapsed="false">
      <c r="A15" s="80" t="n">
        <v>6</v>
      </c>
      <c r="B15" s="38" t="n">
        <f aca="false">C15+D15</f>
        <v>136843.75</v>
      </c>
      <c r="C15" s="38" t="n">
        <f aca="false">E14*$C$5</f>
        <v>76427.0833333333</v>
      </c>
      <c r="D15" s="38" t="n">
        <f aca="false">$C$4/$C$6</f>
        <v>60416.6666666667</v>
      </c>
      <c r="E15" s="38" t="n">
        <f aca="false">MAX(0,E14-D15)</f>
        <v>6887500</v>
      </c>
    </row>
    <row r="16" customFormat="false" ht="15" hidden="false" customHeight="true" outlineLevel="0" collapsed="false">
      <c r="A16" s="80" t="n">
        <v>7</v>
      </c>
      <c r="B16" s="38" t="n">
        <f aca="false">C16+D16</f>
        <v>136179.166666667</v>
      </c>
      <c r="C16" s="38" t="n">
        <f aca="false">E15*$C$5</f>
        <v>75762.5</v>
      </c>
      <c r="D16" s="38" t="n">
        <f aca="false">$C$4/$C$6</f>
        <v>60416.6666666667</v>
      </c>
      <c r="E16" s="38" t="n">
        <f aca="false">MAX(0,E15-D16)</f>
        <v>6827083.33333333</v>
      </c>
    </row>
    <row r="17" customFormat="false" ht="15" hidden="false" customHeight="true" outlineLevel="0" collapsed="false">
      <c r="A17" s="80" t="n">
        <v>8</v>
      </c>
      <c r="B17" s="38" t="n">
        <f aca="false">C17+D17</f>
        <v>135514.583333333</v>
      </c>
      <c r="C17" s="38" t="n">
        <f aca="false">E16*$C$5</f>
        <v>75097.9166666666</v>
      </c>
      <c r="D17" s="38" t="n">
        <f aca="false">$C$4/$C$6</f>
        <v>60416.6666666667</v>
      </c>
      <c r="E17" s="38" t="n">
        <f aca="false">MAX(0,E16-D17)</f>
        <v>6766666.66666666</v>
      </c>
    </row>
    <row r="18" customFormat="false" ht="15" hidden="false" customHeight="true" outlineLevel="0" collapsed="false">
      <c r="A18" s="80" t="n">
        <v>9</v>
      </c>
      <c r="B18" s="38" t="n">
        <f aca="false">C18+D18</f>
        <v>134850</v>
      </c>
      <c r="C18" s="38" t="n">
        <f aca="false">E17*$C$5</f>
        <v>74433.3333333333</v>
      </c>
      <c r="D18" s="38" t="n">
        <f aca="false">$C$4/$C$6</f>
        <v>60416.6666666667</v>
      </c>
      <c r="E18" s="38" t="n">
        <f aca="false">MAX(0,E17-D18)</f>
        <v>6706250</v>
      </c>
    </row>
    <row r="19" customFormat="false" ht="15" hidden="false" customHeight="true" outlineLevel="0" collapsed="false">
      <c r="A19" s="80" t="n">
        <v>10</v>
      </c>
      <c r="B19" s="38" t="n">
        <f aca="false">C19+D19</f>
        <v>134185.416666667</v>
      </c>
      <c r="C19" s="38" t="n">
        <f aca="false">E18*$C$5</f>
        <v>73768.75</v>
      </c>
      <c r="D19" s="38" t="n">
        <f aca="false">$C$4/$C$6</f>
        <v>60416.6666666667</v>
      </c>
      <c r="E19" s="38" t="n">
        <f aca="false">MAX(0,E18-D19)</f>
        <v>6645833.33333333</v>
      </c>
    </row>
    <row r="20" customFormat="false" ht="15" hidden="false" customHeight="true" outlineLevel="0" collapsed="false">
      <c r="A20" s="80" t="n">
        <v>11</v>
      </c>
      <c r="B20" s="38" t="n">
        <f aca="false">C20+D20</f>
        <v>133520.833333333</v>
      </c>
      <c r="C20" s="38" t="n">
        <f aca="false">E19*$C$5</f>
        <v>73104.1666666666</v>
      </c>
      <c r="D20" s="38" t="n">
        <f aca="false">$C$4/$C$6</f>
        <v>60416.6666666667</v>
      </c>
      <c r="E20" s="38" t="n">
        <f aca="false">MAX(0,E19-D20)</f>
        <v>6585416.66666666</v>
      </c>
    </row>
    <row r="21" customFormat="false" ht="15" hidden="false" customHeight="true" outlineLevel="0" collapsed="false">
      <c r="A21" s="80" t="n">
        <v>12</v>
      </c>
      <c r="B21" s="38" t="n">
        <f aca="false">C21+D21</f>
        <v>132856.25</v>
      </c>
      <c r="C21" s="38" t="n">
        <f aca="false">E20*$C$5</f>
        <v>72439.5833333333</v>
      </c>
      <c r="D21" s="38" t="n">
        <f aca="false">$C$4/$C$6</f>
        <v>60416.6666666667</v>
      </c>
      <c r="E21" s="38" t="n">
        <f aca="false">MAX(0,E20-D21)</f>
        <v>6525000</v>
      </c>
    </row>
    <row r="22" customFormat="false" ht="15" hidden="false" customHeight="true" outlineLevel="0" collapsed="false">
      <c r="A22" s="80" t="n">
        <v>13</v>
      </c>
      <c r="B22" s="38" t="n">
        <f aca="false">C22+D22</f>
        <v>132191.666666667</v>
      </c>
      <c r="C22" s="38" t="n">
        <f aca="false">E21*$C$5</f>
        <v>71775</v>
      </c>
      <c r="D22" s="38" t="n">
        <f aca="false">$C$4/$C$6</f>
        <v>60416.6666666667</v>
      </c>
      <c r="E22" s="38" t="n">
        <f aca="false">MAX(0,E21-D22)</f>
        <v>6464583.33333333</v>
      </c>
    </row>
    <row r="23" customFormat="false" ht="15" hidden="false" customHeight="true" outlineLevel="0" collapsed="false">
      <c r="A23" s="80" t="n">
        <v>14</v>
      </c>
      <c r="B23" s="38" t="n">
        <f aca="false">C23+D23</f>
        <v>131527.083333333</v>
      </c>
      <c r="C23" s="38" t="n">
        <f aca="false">E22*$C$5</f>
        <v>71110.4166666666</v>
      </c>
      <c r="D23" s="38" t="n">
        <f aca="false">$C$4/$C$6</f>
        <v>60416.6666666667</v>
      </c>
      <c r="E23" s="38" t="n">
        <f aca="false">MAX(0,E22-D23)</f>
        <v>6404166.66666666</v>
      </c>
    </row>
    <row r="24" customFormat="false" ht="15" hidden="false" customHeight="true" outlineLevel="0" collapsed="false">
      <c r="A24" s="80" t="n">
        <v>15</v>
      </c>
      <c r="B24" s="38" t="n">
        <f aca="false">C24+D24</f>
        <v>130862.5</v>
      </c>
      <c r="C24" s="38" t="n">
        <f aca="false">E23*$C$5</f>
        <v>70445.8333333333</v>
      </c>
      <c r="D24" s="38" t="n">
        <f aca="false">$C$4/$C$6</f>
        <v>60416.6666666667</v>
      </c>
      <c r="E24" s="38" t="n">
        <f aca="false">MAX(0,E23-D24)</f>
        <v>6343750</v>
      </c>
    </row>
    <row r="25" customFormat="false" ht="15" hidden="false" customHeight="true" outlineLevel="0" collapsed="false">
      <c r="A25" s="80" t="n">
        <v>16</v>
      </c>
      <c r="B25" s="38" t="n">
        <f aca="false">C25+D25</f>
        <v>130197.916666667</v>
      </c>
      <c r="C25" s="38" t="n">
        <f aca="false">E24*$C$5</f>
        <v>69781.2499999999</v>
      </c>
      <c r="D25" s="38" t="n">
        <f aca="false">$C$4/$C$6</f>
        <v>60416.6666666667</v>
      </c>
      <c r="E25" s="38" t="n">
        <f aca="false">MAX(0,E24-D25)</f>
        <v>6283333.33333333</v>
      </c>
    </row>
    <row r="26" customFormat="false" ht="15" hidden="false" customHeight="true" outlineLevel="0" collapsed="false">
      <c r="A26" s="80" t="n">
        <v>17</v>
      </c>
      <c r="B26" s="38" t="n">
        <f aca="false">C26+D26</f>
        <v>129533.333333333</v>
      </c>
      <c r="C26" s="38" t="n">
        <f aca="false">E25*$C$5</f>
        <v>69116.6666666666</v>
      </c>
      <c r="D26" s="38" t="n">
        <f aca="false">$C$4/$C$6</f>
        <v>60416.6666666667</v>
      </c>
      <c r="E26" s="38" t="n">
        <f aca="false">MAX(0,E25-D26)</f>
        <v>6222916.66666666</v>
      </c>
    </row>
    <row r="27" customFormat="false" ht="15" hidden="false" customHeight="true" outlineLevel="0" collapsed="false">
      <c r="A27" s="80" t="n">
        <v>18</v>
      </c>
      <c r="B27" s="38" t="n">
        <f aca="false">C27+D27</f>
        <v>128868.75</v>
      </c>
      <c r="C27" s="38" t="n">
        <f aca="false">E26*$C$5</f>
        <v>68452.0833333333</v>
      </c>
      <c r="D27" s="38" t="n">
        <f aca="false">$C$4/$C$6</f>
        <v>60416.6666666667</v>
      </c>
      <c r="E27" s="38" t="n">
        <f aca="false">MAX(0,E26-D27)</f>
        <v>6162499.99999999</v>
      </c>
    </row>
    <row r="28" customFormat="false" ht="15" hidden="false" customHeight="true" outlineLevel="0" collapsed="false">
      <c r="A28" s="80" t="n">
        <v>19</v>
      </c>
      <c r="B28" s="38" t="n">
        <f aca="false">C28+D28</f>
        <v>128204.166666667</v>
      </c>
      <c r="C28" s="38" t="n">
        <f aca="false">E27*$C$5</f>
        <v>67787.4999999999</v>
      </c>
      <c r="D28" s="38" t="n">
        <f aca="false">$C$4/$C$6</f>
        <v>60416.6666666667</v>
      </c>
      <c r="E28" s="38" t="n">
        <f aca="false">MAX(0,E27-D28)</f>
        <v>6102083.33333333</v>
      </c>
    </row>
    <row r="29" customFormat="false" ht="15" hidden="false" customHeight="true" outlineLevel="0" collapsed="false">
      <c r="A29" s="80" t="n">
        <v>20</v>
      </c>
      <c r="B29" s="38" t="n">
        <f aca="false">C29+D29</f>
        <v>127539.583333333</v>
      </c>
      <c r="C29" s="38" t="n">
        <f aca="false">E28*$C$5</f>
        <v>67122.9166666666</v>
      </c>
      <c r="D29" s="38" t="n">
        <f aca="false">$C$4/$C$6</f>
        <v>60416.6666666667</v>
      </c>
      <c r="E29" s="38" t="n">
        <f aca="false">MAX(0,E28-D29)</f>
        <v>6041666.66666666</v>
      </c>
    </row>
    <row r="30" customFormat="false" ht="15" hidden="false" customHeight="true" outlineLevel="0" collapsed="false">
      <c r="A30" s="80" t="n">
        <v>21</v>
      </c>
      <c r="B30" s="38" t="n">
        <f aca="false">C30+D30</f>
        <v>126875</v>
      </c>
      <c r="C30" s="38" t="n">
        <f aca="false">E29*$C$5</f>
        <v>66458.3333333333</v>
      </c>
      <c r="D30" s="38" t="n">
        <f aca="false">$C$4/$C$6</f>
        <v>60416.6666666667</v>
      </c>
      <c r="E30" s="38" t="n">
        <f aca="false">MAX(0,E29-D30)</f>
        <v>5981249.99999999</v>
      </c>
    </row>
    <row r="31" customFormat="false" ht="15" hidden="false" customHeight="true" outlineLevel="0" collapsed="false">
      <c r="A31" s="80" t="n">
        <v>22</v>
      </c>
      <c r="B31" s="38" t="n">
        <f aca="false">C31+D31</f>
        <v>126210.416666667</v>
      </c>
      <c r="C31" s="38" t="n">
        <f aca="false">E30*$C$5</f>
        <v>65793.7499999999</v>
      </c>
      <c r="D31" s="38" t="n">
        <f aca="false">$C$4/$C$6</f>
        <v>60416.6666666667</v>
      </c>
      <c r="E31" s="38" t="n">
        <f aca="false">MAX(0,E30-D31)</f>
        <v>5920833.33333333</v>
      </c>
    </row>
    <row r="32" customFormat="false" ht="15" hidden="false" customHeight="true" outlineLevel="0" collapsed="false">
      <c r="A32" s="80" t="n">
        <v>23</v>
      </c>
      <c r="B32" s="38" t="n">
        <f aca="false">C32+D32</f>
        <v>125545.833333333</v>
      </c>
      <c r="C32" s="38" t="n">
        <f aca="false">E31*$C$5</f>
        <v>65129.1666666666</v>
      </c>
      <c r="D32" s="38" t="n">
        <f aca="false">$C$4/$C$6</f>
        <v>60416.6666666667</v>
      </c>
      <c r="E32" s="38" t="n">
        <f aca="false">MAX(0,E31-D32)</f>
        <v>5860416.66666666</v>
      </c>
    </row>
    <row r="33" customFormat="false" ht="15" hidden="false" customHeight="true" outlineLevel="0" collapsed="false">
      <c r="A33" s="80" t="n">
        <v>24</v>
      </c>
      <c r="B33" s="38" t="n">
        <f aca="false">C33+D33</f>
        <v>124881.25</v>
      </c>
      <c r="C33" s="38" t="n">
        <f aca="false">E32*$C$5</f>
        <v>64464.5833333333</v>
      </c>
      <c r="D33" s="38" t="n">
        <f aca="false">$C$4/$C$6</f>
        <v>60416.6666666667</v>
      </c>
      <c r="E33" s="38" t="n">
        <f aca="false">MAX(0,E32-D33)</f>
        <v>5799999.99999999</v>
      </c>
    </row>
    <row r="34" customFormat="false" ht="15" hidden="false" customHeight="true" outlineLevel="0" collapsed="false">
      <c r="A34" s="80" t="n">
        <v>25</v>
      </c>
      <c r="B34" s="38" t="n">
        <f aca="false">C34+D34</f>
        <v>124216.666666667</v>
      </c>
      <c r="C34" s="38" t="n">
        <f aca="false">E33*$C$5</f>
        <v>63799.9999999999</v>
      </c>
      <c r="D34" s="38" t="n">
        <f aca="false">$C$4/$C$6</f>
        <v>60416.6666666667</v>
      </c>
      <c r="E34" s="38" t="n">
        <f aca="false">MAX(0,E33-D34)</f>
        <v>5739583.33333333</v>
      </c>
    </row>
    <row r="35" customFormat="false" ht="15" hidden="false" customHeight="true" outlineLevel="0" collapsed="false">
      <c r="A35" s="80" t="n">
        <v>26</v>
      </c>
      <c r="B35" s="38" t="n">
        <f aca="false">C35+D35</f>
        <v>123552.083333333</v>
      </c>
      <c r="C35" s="38" t="n">
        <f aca="false">E34*$C$5</f>
        <v>63135.4166666666</v>
      </c>
      <c r="D35" s="38" t="n">
        <f aca="false">$C$4/$C$6</f>
        <v>60416.6666666667</v>
      </c>
      <c r="E35" s="38" t="n">
        <f aca="false">MAX(0,E34-D35)</f>
        <v>5679166.66666666</v>
      </c>
    </row>
    <row r="36" customFormat="false" ht="15" hidden="false" customHeight="true" outlineLevel="0" collapsed="false">
      <c r="A36" s="80" t="n">
        <v>27</v>
      </c>
      <c r="B36" s="38" t="n">
        <f aca="false">C36+D36</f>
        <v>122887.5</v>
      </c>
      <c r="C36" s="38" t="n">
        <f aca="false">E35*$C$5</f>
        <v>62470.8333333332</v>
      </c>
      <c r="D36" s="38" t="n">
        <f aca="false">$C$4/$C$6</f>
        <v>60416.6666666667</v>
      </c>
      <c r="E36" s="38" t="n">
        <f aca="false">MAX(0,E35-D36)</f>
        <v>5618749.99999999</v>
      </c>
    </row>
    <row r="37" customFormat="false" ht="15" hidden="false" customHeight="true" outlineLevel="0" collapsed="false">
      <c r="A37" s="80" t="n">
        <v>28</v>
      </c>
      <c r="B37" s="38" t="n">
        <f aca="false">C37+D37</f>
        <v>122222.916666667</v>
      </c>
      <c r="C37" s="38" t="n">
        <f aca="false">E36*$C$5</f>
        <v>61806.2499999999</v>
      </c>
      <c r="D37" s="38" t="n">
        <f aca="false">$C$4/$C$6</f>
        <v>60416.6666666667</v>
      </c>
      <c r="E37" s="38" t="n">
        <f aca="false">MAX(0,E36-D37)</f>
        <v>5558333.33333333</v>
      </c>
    </row>
    <row r="38" customFormat="false" ht="15" hidden="false" customHeight="true" outlineLevel="0" collapsed="false">
      <c r="A38" s="80" t="n">
        <v>29</v>
      </c>
      <c r="B38" s="38" t="n">
        <f aca="false">C38+D38</f>
        <v>121558.333333333</v>
      </c>
      <c r="C38" s="38" t="n">
        <f aca="false">E37*$C$5</f>
        <v>61141.6666666666</v>
      </c>
      <c r="D38" s="38" t="n">
        <f aca="false">$C$4/$C$6</f>
        <v>60416.6666666667</v>
      </c>
      <c r="E38" s="38" t="n">
        <f aca="false">MAX(0,E37-D38)</f>
        <v>5497916.66666666</v>
      </c>
    </row>
    <row r="39" customFormat="false" ht="15" hidden="false" customHeight="true" outlineLevel="0" collapsed="false">
      <c r="A39" s="80" t="n">
        <v>30</v>
      </c>
      <c r="B39" s="38" t="n">
        <f aca="false">C39+D39</f>
        <v>120893.75</v>
      </c>
      <c r="C39" s="38" t="n">
        <f aca="false">E38*$C$5</f>
        <v>60477.0833333332</v>
      </c>
      <c r="D39" s="38" t="n">
        <f aca="false">$C$4/$C$6</f>
        <v>60416.6666666667</v>
      </c>
      <c r="E39" s="38" t="n">
        <f aca="false">MAX(0,E38-D39)</f>
        <v>5437499.99999999</v>
      </c>
    </row>
    <row r="40" customFormat="false" ht="15" hidden="false" customHeight="true" outlineLevel="0" collapsed="false">
      <c r="A40" s="80" t="n">
        <v>31</v>
      </c>
      <c r="B40" s="38" t="n">
        <f aca="false">C40+D40</f>
        <v>120229.166666667</v>
      </c>
      <c r="C40" s="38" t="n">
        <f aca="false">E39*$C$5</f>
        <v>59812.4999999999</v>
      </c>
      <c r="D40" s="38" t="n">
        <f aca="false">$C$4/$C$6</f>
        <v>60416.6666666667</v>
      </c>
      <c r="E40" s="38" t="n">
        <f aca="false">MAX(0,E39-D40)</f>
        <v>5377083.33333332</v>
      </c>
    </row>
    <row r="41" customFormat="false" ht="15" hidden="false" customHeight="true" outlineLevel="0" collapsed="false">
      <c r="A41" s="80" t="n">
        <v>32</v>
      </c>
      <c r="B41" s="38" t="n">
        <f aca="false">C41+D41</f>
        <v>119564.583333333</v>
      </c>
      <c r="C41" s="38" t="n">
        <f aca="false">E40*$C$5</f>
        <v>59147.9166666666</v>
      </c>
      <c r="D41" s="38" t="n">
        <f aca="false">$C$4/$C$6</f>
        <v>60416.6666666667</v>
      </c>
      <c r="E41" s="38" t="n">
        <f aca="false">MAX(0,E40-D41)</f>
        <v>5316666.66666666</v>
      </c>
    </row>
    <row r="42" customFormat="false" ht="15" hidden="false" customHeight="true" outlineLevel="0" collapsed="false">
      <c r="A42" s="80" t="n">
        <v>33</v>
      </c>
      <c r="B42" s="38" t="n">
        <f aca="false">C42+D42</f>
        <v>118900</v>
      </c>
      <c r="C42" s="38" t="n">
        <f aca="false">E41*$C$5</f>
        <v>58483.3333333332</v>
      </c>
      <c r="D42" s="38" t="n">
        <f aca="false">$C$4/$C$6</f>
        <v>60416.6666666667</v>
      </c>
      <c r="E42" s="38" t="n">
        <f aca="false">MAX(0,E41-D42)</f>
        <v>5256249.99999999</v>
      </c>
    </row>
    <row r="43" customFormat="false" ht="15" hidden="false" customHeight="true" outlineLevel="0" collapsed="false">
      <c r="A43" s="80" t="n">
        <v>34</v>
      </c>
      <c r="B43" s="38" t="n">
        <f aca="false">C43+D43</f>
        <v>118235.416666667</v>
      </c>
      <c r="C43" s="38" t="n">
        <f aca="false">E42*$C$5</f>
        <v>57818.7499999999</v>
      </c>
      <c r="D43" s="38" t="n">
        <f aca="false">$C$4/$C$6</f>
        <v>60416.6666666667</v>
      </c>
      <c r="E43" s="38" t="n">
        <f aca="false">MAX(0,E42-D43)</f>
        <v>5195833.33333332</v>
      </c>
    </row>
    <row r="44" customFormat="false" ht="15" hidden="false" customHeight="true" outlineLevel="0" collapsed="false">
      <c r="A44" s="80" t="n">
        <v>35</v>
      </c>
      <c r="B44" s="38" t="n">
        <f aca="false">C44+D44</f>
        <v>117570.833333333</v>
      </c>
      <c r="C44" s="38" t="n">
        <f aca="false">E43*$C$5</f>
        <v>57154.1666666666</v>
      </c>
      <c r="D44" s="38" t="n">
        <f aca="false">$C$4/$C$6</f>
        <v>60416.6666666667</v>
      </c>
      <c r="E44" s="38" t="n">
        <f aca="false">MAX(0,E43-D44)</f>
        <v>5135416.66666666</v>
      </c>
    </row>
    <row r="45" customFormat="false" ht="15" hidden="false" customHeight="true" outlineLevel="0" collapsed="false">
      <c r="A45" s="80" t="n">
        <v>36</v>
      </c>
      <c r="B45" s="38" t="n">
        <f aca="false">C45+D45</f>
        <v>116906.25</v>
      </c>
      <c r="C45" s="38" t="n">
        <f aca="false">E44*$C$5</f>
        <v>56489.5833333332</v>
      </c>
      <c r="D45" s="38" t="n">
        <f aca="false">$C$4/$C$6</f>
        <v>60416.6666666667</v>
      </c>
      <c r="E45" s="38" t="n">
        <f aca="false">MAX(0,E44-D45)</f>
        <v>5074999.99999999</v>
      </c>
    </row>
    <row r="46" customFormat="false" ht="15" hidden="false" customHeight="true" outlineLevel="0" collapsed="false">
      <c r="A46" s="80" t="n">
        <v>37</v>
      </c>
      <c r="B46" s="38" t="n">
        <f aca="false">C46+D46</f>
        <v>116241.666666667</v>
      </c>
      <c r="C46" s="38" t="n">
        <f aca="false">E45*$C$5</f>
        <v>55824.9999999999</v>
      </c>
      <c r="D46" s="38" t="n">
        <f aca="false">$C$4/$C$6</f>
        <v>60416.6666666667</v>
      </c>
      <c r="E46" s="38" t="n">
        <f aca="false">MAX(0,E45-D46)</f>
        <v>5014583.33333332</v>
      </c>
    </row>
    <row r="47" customFormat="false" ht="15" hidden="false" customHeight="true" outlineLevel="0" collapsed="false">
      <c r="A47" s="80" t="n">
        <v>38</v>
      </c>
      <c r="B47" s="38" t="n">
        <f aca="false">C47+D47</f>
        <v>115577.083333333</v>
      </c>
      <c r="C47" s="38" t="n">
        <f aca="false">E46*$C$5</f>
        <v>55160.4166666665</v>
      </c>
      <c r="D47" s="38" t="n">
        <f aca="false">$C$4/$C$6</f>
        <v>60416.6666666667</v>
      </c>
      <c r="E47" s="38" t="n">
        <f aca="false">MAX(0,E46-D47)</f>
        <v>4954166.66666666</v>
      </c>
    </row>
    <row r="48" customFormat="false" ht="15" hidden="false" customHeight="true" outlineLevel="0" collapsed="false">
      <c r="A48" s="80" t="n">
        <v>39</v>
      </c>
      <c r="B48" s="38" t="n">
        <f aca="false">C48+D48</f>
        <v>114912.5</v>
      </c>
      <c r="C48" s="38" t="n">
        <f aca="false">E47*$C$5</f>
        <v>54495.8333333332</v>
      </c>
      <c r="D48" s="38" t="n">
        <f aca="false">$C$4/$C$6</f>
        <v>60416.6666666667</v>
      </c>
      <c r="E48" s="38" t="n">
        <f aca="false">MAX(0,E47-D48)</f>
        <v>4893749.99999999</v>
      </c>
    </row>
    <row r="49" customFormat="false" ht="15" hidden="false" customHeight="true" outlineLevel="0" collapsed="false">
      <c r="A49" s="80" t="n">
        <v>40</v>
      </c>
      <c r="B49" s="38" t="n">
        <f aca="false">C49+D49</f>
        <v>114247.916666667</v>
      </c>
      <c r="C49" s="38" t="n">
        <f aca="false">E48*$C$5</f>
        <v>53831.2499999999</v>
      </c>
      <c r="D49" s="38" t="n">
        <f aca="false">$C$4/$C$6</f>
        <v>60416.6666666667</v>
      </c>
      <c r="E49" s="38" t="n">
        <f aca="false">MAX(0,E48-D49)</f>
        <v>4833333.33333332</v>
      </c>
    </row>
    <row r="50" customFormat="false" ht="15" hidden="false" customHeight="true" outlineLevel="0" collapsed="false">
      <c r="A50" s="80" t="n">
        <v>41</v>
      </c>
      <c r="B50" s="38" t="n">
        <f aca="false">C50+D50</f>
        <v>113583.333333333</v>
      </c>
      <c r="C50" s="38" t="n">
        <f aca="false">E49*$C$5</f>
        <v>53166.6666666665</v>
      </c>
      <c r="D50" s="38" t="n">
        <f aca="false">$C$4/$C$6</f>
        <v>60416.6666666667</v>
      </c>
      <c r="E50" s="38" t="n">
        <f aca="false">MAX(0,E49-D50)</f>
        <v>4772916.66666665</v>
      </c>
    </row>
    <row r="51" customFormat="false" ht="15" hidden="false" customHeight="true" outlineLevel="0" collapsed="false">
      <c r="A51" s="80" t="n">
        <v>42</v>
      </c>
      <c r="B51" s="38" t="n">
        <f aca="false">C51+D51</f>
        <v>112918.75</v>
      </c>
      <c r="C51" s="38" t="n">
        <f aca="false">E50*$C$5</f>
        <v>52502.0833333332</v>
      </c>
      <c r="D51" s="38" t="n">
        <f aca="false">$C$4/$C$6</f>
        <v>60416.6666666667</v>
      </c>
      <c r="E51" s="38" t="n">
        <f aca="false">MAX(0,E50-D51)</f>
        <v>4712499.99999999</v>
      </c>
    </row>
    <row r="52" customFormat="false" ht="15" hidden="false" customHeight="true" outlineLevel="0" collapsed="false">
      <c r="A52" s="80" t="n">
        <v>43</v>
      </c>
      <c r="B52" s="38" t="n">
        <f aca="false">C52+D52</f>
        <v>112254.166666667</v>
      </c>
      <c r="C52" s="38" t="n">
        <f aca="false">E51*$C$5</f>
        <v>51837.4999999999</v>
      </c>
      <c r="D52" s="38" t="n">
        <f aca="false">$C$4/$C$6</f>
        <v>60416.6666666667</v>
      </c>
      <c r="E52" s="38" t="n">
        <f aca="false">MAX(0,E51-D52)</f>
        <v>4652083.33333332</v>
      </c>
    </row>
    <row r="53" customFormat="false" ht="15" hidden="false" customHeight="true" outlineLevel="0" collapsed="false">
      <c r="A53" s="80" t="n">
        <v>44</v>
      </c>
      <c r="B53" s="38" t="n">
        <f aca="false">C53+D53</f>
        <v>111589.583333333</v>
      </c>
      <c r="C53" s="38" t="n">
        <f aca="false">E52*$C$5</f>
        <v>51172.9166666665</v>
      </c>
      <c r="D53" s="38" t="n">
        <f aca="false">$C$4/$C$6</f>
        <v>60416.6666666667</v>
      </c>
      <c r="E53" s="38" t="n">
        <f aca="false">MAX(0,E52-D53)</f>
        <v>4591666.66666665</v>
      </c>
    </row>
    <row r="54" customFormat="false" ht="15" hidden="false" customHeight="true" outlineLevel="0" collapsed="false">
      <c r="A54" s="80" t="n">
        <v>45</v>
      </c>
      <c r="B54" s="38" t="n">
        <f aca="false">C54+D54</f>
        <v>110925</v>
      </c>
      <c r="C54" s="38" t="n">
        <f aca="false">E53*$C$5</f>
        <v>50508.3333333332</v>
      </c>
      <c r="D54" s="38" t="n">
        <f aca="false">$C$4/$C$6</f>
        <v>60416.6666666667</v>
      </c>
      <c r="E54" s="38" t="n">
        <f aca="false">MAX(0,E53-D54)</f>
        <v>4531249.99999999</v>
      </c>
    </row>
    <row r="55" customFormat="false" ht="15" hidden="false" customHeight="true" outlineLevel="0" collapsed="false">
      <c r="A55" s="80" t="n">
        <v>46</v>
      </c>
      <c r="B55" s="38" t="n">
        <f aca="false">C55+D55</f>
        <v>110260.416666667</v>
      </c>
      <c r="C55" s="38" t="n">
        <f aca="false">E54*$C$5</f>
        <v>49843.7499999998</v>
      </c>
      <c r="D55" s="38" t="n">
        <f aca="false">$C$4/$C$6</f>
        <v>60416.6666666667</v>
      </c>
      <c r="E55" s="38" t="n">
        <f aca="false">MAX(0,E54-D55)</f>
        <v>4470833.33333332</v>
      </c>
    </row>
    <row r="56" customFormat="false" ht="15" hidden="false" customHeight="true" outlineLevel="0" collapsed="false">
      <c r="A56" s="80" t="n">
        <v>47</v>
      </c>
      <c r="B56" s="38" t="n">
        <f aca="false">C56+D56</f>
        <v>109595.833333333</v>
      </c>
      <c r="C56" s="38" t="n">
        <f aca="false">E55*$C$5</f>
        <v>49179.1666666665</v>
      </c>
      <c r="D56" s="38" t="n">
        <f aca="false">$C$4/$C$6</f>
        <v>60416.6666666667</v>
      </c>
      <c r="E56" s="38" t="n">
        <f aca="false">MAX(0,E55-D56)</f>
        <v>4410416.66666665</v>
      </c>
    </row>
    <row r="57" customFormat="false" ht="15" hidden="false" customHeight="true" outlineLevel="0" collapsed="false">
      <c r="A57" s="80" t="n">
        <v>48</v>
      </c>
      <c r="B57" s="38" t="n">
        <f aca="false">C57+D57</f>
        <v>108931.25</v>
      </c>
      <c r="C57" s="38" t="n">
        <f aca="false">E56*$C$5</f>
        <v>48514.5833333332</v>
      </c>
      <c r="D57" s="38" t="n">
        <f aca="false">$C$4/$C$6</f>
        <v>60416.6666666667</v>
      </c>
      <c r="E57" s="38" t="n">
        <f aca="false">MAX(0,E56-D57)</f>
        <v>4349999.99999999</v>
      </c>
    </row>
    <row r="58" customFormat="false" ht="15" hidden="false" customHeight="true" outlineLevel="0" collapsed="false">
      <c r="A58" s="80" t="n">
        <v>49</v>
      </c>
      <c r="B58" s="38" t="n">
        <f aca="false">C58+D58</f>
        <v>108266.666666667</v>
      </c>
      <c r="C58" s="38" t="n">
        <f aca="false">E57*$C$5</f>
        <v>47849.9999999998</v>
      </c>
      <c r="D58" s="38" t="n">
        <f aca="false">$C$4/$C$6</f>
        <v>60416.6666666667</v>
      </c>
      <c r="E58" s="38" t="n">
        <f aca="false">MAX(0,E57-D58)</f>
        <v>4289583.33333332</v>
      </c>
    </row>
    <row r="59" customFormat="false" ht="15" hidden="false" customHeight="true" outlineLevel="0" collapsed="false">
      <c r="A59" s="80" t="n">
        <v>50</v>
      </c>
      <c r="B59" s="38" t="n">
        <f aca="false">C59+D59</f>
        <v>107602.083333333</v>
      </c>
      <c r="C59" s="38" t="n">
        <f aca="false">E58*$C$5</f>
        <v>47185.4166666665</v>
      </c>
      <c r="D59" s="38" t="n">
        <f aca="false">$C$4/$C$6</f>
        <v>60416.6666666667</v>
      </c>
      <c r="E59" s="38" t="n">
        <f aca="false">MAX(0,E58-D59)</f>
        <v>4229166.66666665</v>
      </c>
    </row>
    <row r="60" customFormat="false" ht="15" hidden="false" customHeight="true" outlineLevel="0" collapsed="false">
      <c r="A60" s="80" t="n">
        <v>51</v>
      </c>
      <c r="B60" s="38" t="n">
        <f aca="false">C60+D60</f>
        <v>106937.5</v>
      </c>
      <c r="C60" s="38" t="n">
        <f aca="false">E59*$C$5</f>
        <v>46520.8333333332</v>
      </c>
      <c r="D60" s="38" t="n">
        <f aca="false">$C$4/$C$6</f>
        <v>60416.6666666667</v>
      </c>
      <c r="E60" s="38" t="n">
        <f aca="false">MAX(0,E59-D60)</f>
        <v>4168749.99999998</v>
      </c>
    </row>
    <row r="61" customFormat="false" ht="15" hidden="false" customHeight="true" outlineLevel="0" collapsed="false">
      <c r="A61" s="80" t="n">
        <v>52</v>
      </c>
      <c r="B61" s="38" t="n">
        <f aca="false">C61+D61</f>
        <v>106272.916666666</v>
      </c>
      <c r="C61" s="38" t="n">
        <f aca="false">E60*$C$5</f>
        <v>45856.2499999998</v>
      </c>
      <c r="D61" s="38" t="n">
        <f aca="false">$C$4/$C$6</f>
        <v>60416.6666666667</v>
      </c>
      <c r="E61" s="38" t="n">
        <f aca="false">MAX(0,E60-D61)</f>
        <v>4108333.33333332</v>
      </c>
    </row>
    <row r="62" customFormat="false" ht="15" hidden="false" customHeight="true" outlineLevel="0" collapsed="false">
      <c r="A62" s="80" t="n">
        <v>53</v>
      </c>
      <c r="B62" s="38" t="n">
        <f aca="false">C62+D62</f>
        <v>105608.333333333</v>
      </c>
      <c r="C62" s="38" t="n">
        <f aca="false">E61*$C$5</f>
        <v>45191.6666666665</v>
      </c>
      <c r="D62" s="38" t="n">
        <f aca="false">$C$4/$C$6</f>
        <v>60416.6666666667</v>
      </c>
      <c r="E62" s="38" t="n">
        <f aca="false">MAX(0,E61-D62)</f>
        <v>4047916.66666665</v>
      </c>
    </row>
    <row r="63" customFormat="false" ht="15" hidden="false" customHeight="true" outlineLevel="0" collapsed="false">
      <c r="A63" s="80" t="n">
        <v>54</v>
      </c>
      <c r="B63" s="38" t="n">
        <f aca="false">C63+D63</f>
        <v>104943.75</v>
      </c>
      <c r="C63" s="38" t="n">
        <f aca="false">E62*$C$5</f>
        <v>44527.0833333332</v>
      </c>
      <c r="D63" s="38" t="n">
        <f aca="false">$C$4/$C$6</f>
        <v>60416.6666666667</v>
      </c>
      <c r="E63" s="38" t="n">
        <f aca="false">MAX(0,E62-D63)</f>
        <v>3987499.99999999</v>
      </c>
    </row>
    <row r="64" customFormat="false" ht="15" hidden="false" customHeight="true" outlineLevel="0" collapsed="false">
      <c r="A64" s="80" t="n">
        <v>55</v>
      </c>
      <c r="B64" s="38" t="n">
        <f aca="false">C64+D64</f>
        <v>104279.166666667</v>
      </c>
      <c r="C64" s="38" t="n">
        <f aca="false">E63*$C$5</f>
        <v>43862.4999999998</v>
      </c>
      <c r="D64" s="38" t="n">
        <f aca="false">$C$4/$C$6</f>
        <v>60416.6666666667</v>
      </c>
      <c r="E64" s="38" t="n">
        <f aca="false">MAX(0,E63-D64)</f>
        <v>3927083.33333332</v>
      </c>
    </row>
    <row r="65" customFormat="false" ht="15" hidden="false" customHeight="true" outlineLevel="0" collapsed="false">
      <c r="A65" s="80" t="n">
        <v>56</v>
      </c>
      <c r="B65" s="38" t="n">
        <f aca="false">C65+D65</f>
        <v>103614.583333333</v>
      </c>
      <c r="C65" s="38" t="n">
        <f aca="false">E64*$C$5</f>
        <v>43197.9166666665</v>
      </c>
      <c r="D65" s="38" t="n">
        <f aca="false">$C$4/$C$6</f>
        <v>60416.6666666667</v>
      </c>
      <c r="E65" s="38" t="n">
        <f aca="false">MAX(0,E64-D65)</f>
        <v>3866666.66666665</v>
      </c>
    </row>
    <row r="66" customFormat="false" ht="15" hidden="false" customHeight="true" outlineLevel="0" collapsed="false">
      <c r="A66" s="80" t="n">
        <v>57</v>
      </c>
      <c r="B66" s="38" t="n">
        <f aca="false">C66+D66</f>
        <v>102950</v>
      </c>
      <c r="C66" s="38" t="n">
        <f aca="false">E65*$C$5</f>
        <v>42533.3333333332</v>
      </c>
      <c r="D66" s="38" t="n">
        <f aca="false">$C$4/$C$6</f>
        <v>60416.6666666667</v>
      </c>
      <c r="E66" s="38" t="n">
        <f aca="false">MAX(0,E65-D66)</f>
        <v>3806249.99999999</v>
      </c>
    </row>
    <row r="67" customFormat="false" ht="15" hidden="false" customHeight="true" outlineLevel="0" collapsed="false">
      <c r="A67" s="80" t="n">
        <v>58</v>
      </c>
      <c r="B67" s="38" t="n">
        <f aca="false">C67+D67</f>
        <v>102285.416666667</v>
      </c>
      <c r="C67" s="38" t="n">
        <f aca="false">E66*$C$5</f>
        <v>41868.7499999998</v>
      </c>
      <c r="D67" s="38" t="n">
        <f aca="false">$C$4/$C$6</f>
        <v>60416.6666666667</v>
      </c>
      <c r="E67" s="38" t="n">
        <f aca="false">MAX(0,E66-D67)</f>
        <v>3745833.33333332</v>
      </c>
    </row>
    <row r="68" customFormat="false" ht="15" hidden="false" customHeight="true" outlineLevel="0" collapsed="false">
      <c r="A68" s="80" t="n">
        <v>59</v>
      </c>
      <c r="B68" s="38" t="n">
        <f aca="false">C68+D68</f>
        <v>101620.833333333</v>
      </c>
      <c r="C68" s="38" t="n">
        <f aca="false">E67*$C$5</f>
        <v>41204.1666666665</v>
      </c>
      <c r="D68" s="38" t="n">
        <f aca="false">$C$4/$C$6</f>
        <v>60416.6666666667</v>
      </c>
      <c r="E68" s="38" t="n">
        <f aca="false">MAX(0,E67-D68)</f>
        <v>3685416.66666665</v>
      </c>
    </row>
    <row r="69" customFormat="false" ht="15" hidden="false" customHeight="true" outlineLevel="0" collapsed="false">
      <c r="A69" s="80" t="n">
        <v>60</v>
      </c>
      <c r="B69" s="38" t="n">
        <f aca="false">C69+D69</f>
        <v>100956.25</v>
      </c>
      <c r="C69" s="38" t="n">
        <f aca="false">E68*$C$5</f>
        <v>40539.5833333332</v>
      </c>
      <c r="D69" s="38" t="n">
        <f aca="false">$C$4/$C$6</f>
        <v>60416.6666666667</v>
      </c>
      <c r="E69" s="38" t="n">
        <f aca="false">MAX(0,E68-D69)</f>
        <v>3624999.99999999</v>
      </c>
    </row>
    <row r="70" customFormat="false" ht="15" hidden="false" customHeight="true" outlineLevel="0" collapsed="false">
      <c r="A70" s="80" t="n">
        <v>61</v>
      </c>
      <c r="B70" s="38" t="n">
        <f aca="false">C70+D70</f>
        <v>100291.666666667</v>
      </c>
      <c r="C70" s="38" t="n">
        <f aca="false">E69*$C$5</f>
        <v>39874.9999999999</v>
      </c>
      <c r="D70" s="38" t="n">
        <f aca="false">$C$4/$C$6</f>
        <v>60416.6666666667</v>
      </c>
      <c r="E70" s="38" t="n">
        <f aca="false">MAX(0,E69-D70)</f>
        <v>3564583.33333332</v>
      </c>
    </row>
    <row r="71" customFormat="false" ht="15" hidden="false" customHeight="true" outlineLevel="0" collapsed="false">
      <c r="A71" s="80" t="n">
        <v>62</v>
      </c>
      <c r="B71" s="38" t="n">
        <f aca="false">C71+D71</f>
        <v>99627.0833333332</v>
      </c>
      <c r="C71" s="38" t="n">
        <f aca="false">E70*$C$5</f>
        <v>39210.4166666665</v>
      </c>
      <c r="D71" s="38" t="n">
        <f aca="false">$C$4/$C$6</f>
        <v>60416.6666666667</v>
      </c>
      <c r="E71" s="38" t="n">
        <f aca="false">MAX(0,E70-D71)</f>
        <v>3504166.66666665</v>
      </c>
    </row>
    <row r="72" customFormat="false" ht="15" hidden="false" customHeight="true" outlineLevel="0" collapsed="false">
      <c r="A72" s="80" t="n">
        <v>63</v>
      </c>
      <c r="B72" s="38" t="n">
        <f aca="false">C72+D72</f>
        <v>98962.4999999999</v>
      </c>
      <c r="C72" s="38" t="n">
        <f aca="false">E71*$C$5</f>
        <v>38545.8333333332</v>
      </c>
      <c r="D72" s="38" t="n">
        <f aca="false">$C$4/$C$6</f>
        <v>60416.6666666667</v>
      </c>
      <c r="E72" s="38" t="n">
        <f aca="false">MAX(0,E71-D72)</f>
        <v>3443749.99999999</v>
      </c>
    </row>
    <row r="73" customFormat="false" ht="15" hidden="false" customHeight="true" outlineLevel="0" collapsed="false">
      <c r="A73" s="80" t="n">
        <v>64</v>
      </c>
      <c r="B73" s="38" t="n">
        <f aca="false">C73+D73</f>
        <v>98297.9166666665</v>
      </c>
      <c r="C73" s="38" t="n">
        <f aca="false">E72*$C$5</f>
        <v>37881.2499999999</v>
      </c>
      <c r="D73" s="38" t="n">
        <f aca="false">$C$4/$C$6</f>
        <v>60416.6666666667</v>
      </c>
      <c r="E73" s="38" t="n">
        <f aca="false">MAX(0,E72-D73)</f>
        <v>3383333.33333332</v>
      </c>
    </row>
    <row r="74" customFormat="false" ht="15" hidden="false" customHeight="true" outlineLevel="0" collapsed="false">
      <c r="A74" s="80" t="n">
        <v>65</v>
      </c>
      <c r="B74" s="38" t="n">
        <f aca="false">C74+D74</f>
        <v>97633.3333333332</v>
      </c>
      <c r="C74" s="38" t="n">
        <f aca="false">E73*$C$5</f>
        <v>37216.6666666665</v>
      </c>
      <c r="D74" s="38" t="n">
        <f aca="false">$C$4/$C$6</f>
        <v>60416.6666666667</v>
      </c>
      <c r="E74" s="38" t="n">
        <f aca="false">MAX(0,E73-D74)</f>
        <v>3322916.66666665</v>
      </c>
    </row>
    <row r="75" customFormat="false" ht="15" hidden="false" customHeight="true" outlineLevel="0" collapsed="false">
      <c r="A75" s="80" t="n">
        <v>66</v>
      </c>
      <c r="B75" s="38" t="n">
        <f aca="false">C75+D75</f>
        <v>96968.7499999999</v>
      </c>
      <c r="C75" s="38" t="n">
        <f aca="false">E74*$C$5</f>
        <v>36552.0833333332</v>
      </c>
      <c r="D75" s="38" t="n">
        <f aca="false">$C$4/$C$6</f>
        <v>60416.6666666667</v>
      </c>
      <c r="E75" s="38" t="n">
        <f aca="false">MAX(0,E74-D75)</f>
        <v>3262499.99999999</v>
      </c>
    </row>
    <row r="76" customFormat="false" ht="15" hidden="false" customHeight="true" outlineLevel="0" collapsed="false">
      <c r="A76" s="80" t="n">
        <v>67</v>
      </c>
      <c r="B76" s="38" t="n">
        <f aca="false">C76+D76</f>
        <v>96304.1666666665</v>
      </c>
      <c r="C76" s="38" t="n">
        <f aca="false">E75*$C$5</f>
        <v>35887.4999999999</v>
      </c>
      <c r="D76" s="38" t="n">
        <f aca="false">$C$4/$C$6</f>
        <v>60416.6666666667</v>
      </c>
      <c r="E76" s="38" t="n">
        <f aca="false">MAX(0,E75-D76)</f>
        <v>3202083.33333332</v>
      </c>
    </row>
    <row r="77" customFormat="false" ht="15" hidden="false" customHeight="true" outlineLevel="0" collapsed="false">
      <c r="A77" s="80" t="n">
        <v>68</v>
      </c>
      <c r="B77" s="38" t="n">
        <f aca="false">C77+D77</f>
        <v>95639.5833333332</v>
      </c>
      <c r="C77" s="38" t="n">
        <f aca="false">E76*$C$5</f>
        <v>35222.9166666665</v>
      </c>
      <c r="D77" s="38" t="n">
        <f aca="false">$C$4/$C$6</f>
        <v>60416.6666666667</v>
      </c>
      <c r="E77" s="38" t="n">
        <f aca="false">MAX(0,E76-D77)</f>
        <v>3141666.66666665</v>
      </c>
    </row>
    <row r="78" customFormat="false" ht="15" hidden="false" customHeight="true" outlineLevel="0" collapsed="false">
      <c r="A78" s="80" t="n">
        <v>69</v>
      </c>
      <c r="B78" s="38" t="n">
        <f aca="false">C78+D78</f>
        <v>94974.9999999999</v>
      </c>
      <c r="C78" s="38" t="n">
        <f aca="false">E77*$C$5</f>
        <v>34558.3333333332</v>
      </c>
      <c r="D78" s="38" t="n">
        <f aca="false">$C$4/$C$6</f>
        <v>60416.6666666667</v>
      </c>
      <c r="E78" s="38" t="n">
        <f aca="false">MAX(0,E77-D78)</f>
        <v>3081249.99999999</v>
      </c>
    </row>
    <row r="79" customFormat="false" ht="15" hidden="false" customHeight="true" outlineLevel="0" collapsed="false">
      <c r="A79" s="80" t="n">
        <v>70</v>
      </c>
      <c r="B79" s="38" t="n">
        <f aca="false">C79+D79</f>
        <v>94310.4166666665</v>
      </c>
      <c r="C79" s="38" t="n">
        <f aca="false">E78*$C$5</f>
        <v>33893.7499999999</v>
      </c>
      <c r="D79" s="38" t="n">
        <f aca="false">$C$4/$C$6</f>
        <v>60416.6666666667</v>
      </c>
      <c r="E79" s="38" t="n">
        <f aca="false">MAX(0,E78-D79)</f>
        <v>3020833.33333332</v>
      </c>
    </row>
    <row r="80" customFormat="false" ht="15" hidden="false" customHeight="true" outlineLevel="0" collapsed="false">
      <c r="A80" s="80" t="n">
        <v>71</v>
      </c>
      <c r="B80" s="38" t="n">
        <f aca="false">C80+D80</f>
        <v>93645.8333333332</v>
      </c>
      <c r="C80" s="38" t="n">
        <f aca="false">E79*$C$5</f>
        <v>33229.1666666665</v>
      </c>
      <c r="D80" s="38" t="n">
        <f aca="false">$C$4/$C$6</f>
        <v>60416.6666666667</v>
      </c>
      <c r="E80" s="38" t="n">
        <f aca="false">MAX(0,E79-D80)</f>
        <v>2960416.66666665</v>
      </c>
    </row>
    <row r="81" customFormat="false" ht="15" hidden="false" customHeight="true" outlineLevel="0" collapsed="false">
      <c r="A81" s="80" t="n">
        <v>72</v>
      </c>
      <c r="B81" s="38" t="n">
        <f aca="false">C81+D81</f>
        <v>92981.2499999999</v>
      </c>
      <c r="C81" s="38" t="n">
        <f aca="false">E80*$C$5</f>
        <v>32564.5833333332</v>
      </c>
      <c r="D81" s="38" t="n">
        <f aca="false">$C$4/$C$6</f>
        <v>60416.6666666667</v>
      </c>
      <c r="E81" s="38" t="n">
        <f aca="false">MAX(0,E80-D81)</f>
        <v>2899999.99999999</v>
      </c>
    </row>
    <row r="82" customFormat="false" ht="15" hidden="false" customHeight="true" outlineLevel="0" collapsed="false">
      <c r="A82" s="80" t="n">
        <v>73</v>
      </c>
      <c r="B82" s="38" t="n">
        <f aca="false">C82+D82</f>
        <v>92316.6666666665</v>
      </c>
      <c r="C82" s="38" t="n">
        <f aca="false">E81*$C$5</f>
        <v>31899.9999999999</v>
      </c>
      <c r="D82" s="38" t="n">
        <f aca="false">$C$4/$C$6</f>
        <v>60416.6666666667</v>
      </c>
      <c r="E82" s="38" t="n">
        <f aca="false">MAX(0,E81-D82)</f>
        <v>2839583.33333332</v>
      </c>
    </row>
    <row r="83" customFormat="false" ht="15" hidden="false" customHeight="true" outlineLevel="0" collapsed="false">
      <c r="A83" s="80" t="n">
        <v>74</v>
      </c>
      <c r="B83" s="38" t="n">
        <f aca="false">C83+D83</f>
        <v>91652.0833333332</v>
      </c>
      <c r="C83" s="38" t="n">
        <f aca="false">E82*$C$5</f>
        <v>31235.4166666665</v>
      </c>
      <c r="D83" s="38" t="n">
        <f aca="false">$C$4/$C$6</f>
        <v>60416.6666666667</v>
      </c>
      <c r="E83" s="38" t="n">
        <f aca="false">MAX(0,E82-D83)</f>
        <v>2779166.66666666</v>
      </c>
    </row>
    <row r="84" customFormat="false" ht="15" hidden="false" customHeight="true" outlineLevel="0" collapsed="false">
      <c r="A84" s="80" t="n">
        <v>75</v>
      </c>
      <c r="B84" s="38" t="n">
        <f aca="false">C84+D84</f>
        <v>90987.4999999999</v>
      </c>
      <c r="C84" s="38" t="n">
        <f aca="false">E83*$C$5</f>
        <v>30570.8333333332</v>
      </c>
      <c r="D84" s="38" t="n">
        <f aca="false">$C$4/$C$6</f>
        <v>60416.6666666667</v>
      </c>
      <c r="E84" s="38" t="n">
        <f aca="false">MAX(0,E83-D84)</f>
        <v>2718749.99999999</v>
      </c>
    </row>
    <row r="85" customFormat="false" ht="15" hidden="false" customHeight="true" outlineLevel="0" collapsed="false">
      <c r="A85" s="80" t="n">
        <v>76</v>
      </c>
      <c r="B85" s="38" t="n">
        <f aca="false">C85+D85</f>
        <v>90322.9166666665</v>
      </c>
      <c r="C85" s="38" t="n">
        <f aca="false">E84*$C$5</f>
        <v>29906.2499999999</v>
      </c>
      <c r="D85" s="38" t="n">
        <f aca="false">$C$4/$C$6</f>
        <v>60416.6666666667</v>
      </c>
      <c r="E85" s="38" t="n">
        <f aca="false">MAX(0,E84-D85)</f>
        <v>2658333.33333332</v>
      </c>
    </row>
    <row r="86" customFormat="false" ht="15" hidden="false" customHeight="true" outlineLevel="0" collapsed="false">
      <c r="A86" s="80" t="n">
        <v>77</v>
      </c>
      <c r="B86" s="38" t="n">
        <f aca="false">C86+D86</f>
        <v>89658.3333333332</v>
      </c>
      <c r="C86" s="38" t="n">
        <f aca="false">E85*$C$5</f>
        <v>29241.6666666665</v>
      </c>
      <c r="D86" s="38" t="n">
        <f aca="false">$C$4/$C$6</f>
        <v>60416.6666666667</v>
      </c>
      <c r="E86" s="38" t="n">
        <f aca="false">MAX(0,E85-D86)</f>
        <v>2597916.66666666</v>
      </c>
    </row>
    <row r="87" customFormat="false" ht="15" hidden="false" customHeight="true" outlineLevel="0" collapsed="false">
      <c r="A87" s="80" t="n">
        <v>78</v>
      </c>
      <c r="B87" s="38" t="n">
        <f aca="false">C87+D87</f>
        <v>88993.7499999999</v>
      </c>
      <c r="C87" s="38" t="n">
        <f aca="false">E86*$C$5</f>
        <v>28577.0833333332</v>
      </c>
      <c r="D87" s="38" t="n">
        <f aca="false">$C$4/$C$6</f>
        <v>60416.6666666667</v>
      </c>
      <c r="E87" s="38" t="n">
        <f aca="false">MAX(0,E86-D87)</f>
        <v>2537499.99999999</v>
      </c>
    </row>
    <row r="88" customFormat="false" ht="15" hidden="false" customHeight="true" outlineLevel="0" collapsed="false">
      <c r="A88" s="80" t="n">
        <v>79</v>
      </c>
      <c r="B88" s="38" t="n">
        <f aca="false">C88+D88</f>
        <v>88329.1666666665</v>
      </c>
      <c r="C88" s="38" t="n">
        <f aca="false">E87*$C$5</f>
        <v>27912.4999999999</v>
      </c>
      <c r="D88" s="38" t="n">
        <f aca="false">$C$4/$C$6</f>
        <v>60416.6666666667</v>
      </c>
      <c r="E88" s="38" t="n">
        <f aca="false">MAX(0,E87-D88)</f>
        <v>2477083.33333332</v>
      </c>
    </row>
    <row r="89" customFormat="false" ht="15" hidden="false" customHeight="true" outlineLevel="0" collapsed="false">
      <c r="A89" s="80" t="n">
        <v>80</v>
      </c>
      <c r="B89" s="38" t="n">
        <f aca="false">C89+D89</f>
        <v>87664.5833333332</v>
      </c>
      <c r="C89" s="38" t="n">
        <f aca="false">E88*$C$5</f>
        <v>27247.9166666665</v>
      </c>
      <c r="D89" s="38" t="n">
        <f aca="false">$C$4/$C$6</f>
        <v>60416.6666666667</v>
      </c>
      <c r="E89" s="38" t="n">
        <f aca="false">MAX(0,E88-D89)</f>
        <v>2416666.66666666</v>
      </c>
    </row>
    <row r="90" customFormat="false" ht="15" hidden="false" customHeight="true" outlineLevel="0" collapsed="false">
      <c r="A90" s="80" t="n">
        <v>81</v>
      </c>
      <c r="B90" s="38" t="n">
        <f aca="false">C90+D90</f>
        <v>86999.9999999999</v>
      </c>
      <c r="C90" s="38" t="n">
        <f aca="false">E89*$C$5</f>
        <v>26583.3333333332</v>
      </c>
      <c r="D90" s="38" t="n">
        <f aca="false">$C$4/$C$6</f>
        <v>60416.6666666667</v>
      </c>
      <c r="E90" s="38" t="n">
        <f aca="false">MAX(0,E89-D90)</f>
        <v>2356249.99999999</v>
      </c>
    </row>
    <row r="91" customFormat="false" ht="15" hidden="false" customHeight="true" outlineLevel="0" collapsed="false">
      <c r="A91" s="80" t="n">
        <v>82</v>
      </c>
      <c r="B91" s="38" t="n">
        <f aca="false">C91+D91</f>
        <v>86335.4166666665</v>
      </c>
      <c r="C91" s="38" t="n">
        <f aca="false">E90*$C$5</f>
        <v>25918.7499999999</v>
      </c>
      <c r="D91" s="38" t="n">
        <f aca="false">$C$4/$C$6</f>
        <v>60416.6666666667</v>
      </c>
      <c r="E91" s="38" t="n">
        <f aca="false">MAX(0,E90-D91)</f>
        <v>2295833.33333332</v>
      </c>
    </row>
    <row r="92" customFormat="false" ht="15" hidden="false" customHeight="true" outlineLevel="0" collapsed="false">
      <c r="A92" s="80" t="n">
        <v>83</v>
      </c>
      <c r="B92" s="38" t="n">
        <f aca="false">C92+D92</f>
        <v>85670.8333333332</v>
      </c>
      <c r="C92" s="38" t="n">
        <f aca="false">E91*$C$5</f>
        <v>25254.1666666665</v>
      </c>
      <c r="D92" s="38" t="n">
        <f aca="false">$C$4/$C$6</f>
        <v>60416.6666666667</v>
      </c>
      <c r="E92" s="38" t="n">
        <f aca="false">MAX(0,E91-D92)</f>
        <v>2235416.66666666</v>
      </c>
    </row>
    <row r="93" customFormat="false" ht="15" hidden="false" customHeight="true" outlineLevel="0" collapsed="false">
      <c r="A93" s="80" t="n">
        <v>84</v>
      </c>
      <c r="B93" s="38" t="n">
        <f aca="false">C93+D93</f>
        <v>85006.2499999999</v>
      </c>
      <c r="C93" s="38" t="n">
        <f aca="false">E92*$C$5</f>
        <v>24589.5833333332</v>
      </c>
      <c r="D93" s="38" t="n">
        <f aca="false">$C$4/$C$6</f>
        <v>60416.6666666667</v>
      </c>
      <c r="E93" s="38" t="n">
        <f aca="false">MAX(0,E92-D93)</f>
        <v>2174999.99999999</v>
      </c>
    </row>
    <row r="94" customFormat="false" ht="15" hidden="false" customHeight="true" outlineLevel="0" collapsed="false">
      <c r="A94" s="80" t="n">
        <v>85</v>
      </c>
      <c r="B94" s="38" t="n">
        <f aca="false">C94+D94</f>
        <v>84341.6666666666</v>
      </c>
      <c r="C94" s="38" t="n">
        <f aca="false">E93*$C$5</f>
        <v>23924.9999999999</v>
      </c>
      <c r="D94" s="38" t="n">
        <f aca="false">$C$4/$C$6</f>
        <v>60416.6666666667</v>
      </c>
      <c r="E94" s="38" t="n">
        <f aca="false">MAX(0,E93-D94)</f>
        <v>2114583.33333332</v>
      </c>
    </row>
    <row r="95" customFormat="false" ht="15" hidden="false" customHeight="true" outlineLevel="0" collapsed="false">
      <c r="A95" s="80" t="n">
        <v>86</v>
      </c>
      <c r="B95" s="38" t="n">
        <f aca="false">C95+D95</f>
        <v>83677.0833333332</v>
      </c>
      <c r="C95" s="38" t="n">
        <f aca="false">E94*$C$5</f>
        <v>23260.4166666666</v>
      </c>
      <c r="D95" s="38" t="n">
        <f aca="false">$C$4/$C$6</f>
        <v>60416.6666666667</v>
      </c>
      <c r="E95" s="38" t="n">
        <f aca="false">MAX(0,E94-D95)</f>
        <v>2054166.66666666</v>
      </c>
    </row>
    <row r="96" customFormat="false" ht="15" hidden="false" customHeight="true" outlineLevel="0" collapsed="false">
      <c r="A96" s="80" t="n">
        <v>87</v>
      </c>
      <c r="B96" s="38" t="n">
        <f aca="false">C96+D96</f>
        <v>83012.4999999999</v>
      </c>
      <c r="C96" s="38" t="n">
        <f aca="false">E95*$C$5</f>
        <v>22595.8333333332</v>
      </c>
      <c r="D96" s="38" t="n">
        <f aca="false">$C$4/$C$6</f>
        <v>60416.6666666667</v>
      </c>
      <c r="E96" s="38" t="n">
        <f aca="false">MAX(0,E95-D96)</f>
        <v>1993749.99999999</v>
      </c>
    </row>
    <row r="97" customFormat="false" ht="15" hidden="false" customHeight="true" outlineLevel="0" collapsed="false">
      <c r="A97" s="80" t="n">
        <v>88</v>
      </c>
      <c r="B97" s="38" t="n">
        <f aca="false">C97+D97</f>
        <v>82347.9166666666</v>
      </c>
      <c r="C97" s="38" t="n">
        <f aca="false">E96*$C$5</f>
        <v>21931.2499999999</v>
      </c>
      <c r="D97" s="38" t="n">
        <f aca="false">$C$4/$C$6</f>
        <v>60416.6666666667</v>
      </c>
      <c r="E97" s="38" t="n">
        <f aca="false">MAX(0,E96-D97)</f>
        <v>1933333.33333332</v>
      </c>
    </row>
    <row r="98" customFormat="false" ht="15" hidden="false" customHeight="true" outlineLevel="0" collapsed="false">
      <c r="A98" s="80" t="n">
        <v>89</v>
      </c>
      <c r="B98" s="38" t="n">
        <f aca="false">C98+D98</f>
        <v>81683.3333333332</v>
      </c>
      <c r="C98" s="38" t="n">
        <f aca="false">E97*$C$5</f>
        <v>21266.6666666666</v>
      </c>
      <c r="D98" s="38" t="n">
        <f aca="false">$C$4/$C$6</f>
        <v>60416.6666666667</v>
      </c>
      <c r="E98" s="38" t="n">
        <f aca="false">MAX(0,E97-D98)</f>
        <v>1872916.66666666</v>
      </c>
    </row>
    <row r="99" customFormat="false" ht="15" hidden="false" customHeight="true" outlineLevel="0" collapsed="false">
      <c r="A99" s="80" t="n">
        <v>90</v>
      </c>
      <c r="B99" s="38" t="n">
        <f aca="false">C99+D99</f>
        <v>81018.7499999999</v>
      </c>
      <c r="C99" s="38" t="n">
        <f aca="false">E98*$C$5</f>
        <v>20602.0833333332</v>
      </c>
      <c r="D99" s="38" t="n">
        <f aca="false">$C$4/$C$6</f>
        <v>60416.6666666667</v>
      </c>
      <c r="E99" s="38" t="n">
        <f aca="false">MAX(0,E98-D99)</f>
        <v>1812499.99999999</v>
      </c>
    </row>
    <row r="100" customFormat="false" ht="15" hidden="false" customHeight="true" outlineLevel="0" collapsed="false">
      <c r="A100" s="80" t="n">
        <v>91</v>
      </c>
      <c r="B100" s="38" t="n">
        <f aca="false">C100+D100</f>
        <v>80354.1666666665</v>
      </c>
      <c r="C100" s="38" t="n">
        <f aca="false">E99*$C$5</f>
        <v>19937.4999999999</v>
      </c>
      <c r="D100" s="38" t="n">
        <f aca="false">$C$4/$C$6</f>
        <v>60416.6666666667</v>
      </c>
      <c r="E100" s="38" t="n">
        <f aca="false">MAX(0,E99-D100)</f>
        <v>1752083.33333332</v>
      </c>
    </row>
    <row r="101" customFormat="false" ht="15" hidden="false" customHeight="true" outlineLevel="0" collapsed="false">
      <c r="A101" s="80" t="n">
        <v>92</v>
      </c>
      <c r="B101" s="38" t="n">
        <f aca="false">C101+D101</f>
        <v>79689.5833333332</v>
      </c>
      <c r="C101" s="38" t="n">
        <f aca="false">E100*$C$5</f>
        <v>19272.9166666665</v>
      </c>
      <c r="D101" s="38" t="n">
        <f aca="false">$C$4/$C$6</f>
        <v>60416.6666666667</v>
      </c>
      <c r="E101" s="38" t="n">
        <f aca="false">MAX(0,E100-D101)</f>
        <v>1691666.66666666</v>
      </c>
    </row>
    <row r="102" customFormat="false" ht="15" hidden="false" customHeight="true" outlineLevel="0" collapsed="false">
      <c r="A102" s="80" t="n">
        <v>93</v>
      </c>
      <c r="B102" s="38" t="n">
        <f aca="false">C102+D102</f>
        <v>79024.9999999999</v>
      </c>
      <c r="C102" s="38" t="n">
        <f aca="false">E101*$C$5</f>
        <v>18608.3333333332</v>
      </c>
      <c r="D102" s="38" t="n">
        <f aca="false">$C$4/$C$6</f>
        <v>60416.6666666667</v>
      </c>
      <c r="E102" s="38" t="n">
        <f aca="false">MAX(0,E101-D102)</f>
        <v>1631249.99999999</v>
      </c>
    </row>
    <row r="103" customFormat="false" ht="15" hidden="false" customHeight="true" outlineLevel="0" collapsed="false">
      <c r="A103" s="80" t="n">
        <v>94</v>
      </c>
      <c r="B103" s="38" t="n">
        <f aca="false">C103+D103</f>
        <v>78360.4166666665</v>
      </c>
      <c r="C103" s="38" t="n">
        <f aca="false">E102*$C$5</f>
        <v>17943.7499999999</v>
      </c>
      <c r="D103" s="38" t="n">
        <f aca="false">$C$4/$C$6</f>
        <v>60416.6666666667</v>
      </c>
      <c r="E103" s="38" t="n">
        <f aca="false">MAX(0,E102-D103)</f>
        <v>1570833.33333332</v>
      </c>
    </row>
    <row r="104" customFormat="false" ht="15" hidden="false" customHeight="true" outlineLevel="0" collapsed="false">
      <c r="A104" s="80" t="n">
        <v>95</v>
      </c>
      <c r="B104" s="38" t="n">
        <f aca="false">C104+D104</f>
        <v>77695.8333333332</v>
      </c>
      <c r="C104" s="38" t="n">
        <f aca="false">E103*$C$5</f>
        <v>17279.1666666665</v>
      </c>
      <c r="D104" s="38" t="n">
        <f aca="false">$C$4/$C$6</f>
        <v>60416.6666666667</v>
      </c>
      <c r="E104" s="38" t="n">
        <f aca="false">MAX(0,E103-D104)</f>
        <v>1510416.66666666</v>
      </c>
    </row>
    <row r="105" customFormat="false" ht="15" hidden="false" customHeight="true" outlineLevel="0" collapsed="false">
      <c r="A105" s="80" t="n">
        <v>96</v>
      </c>
      <c r="B105" s="38" t="n">
        <f aca="false">C105+D105</f>
        <v>77031.2499999999</v>
      </c>
      <c r="C105" s="38" t="n">
        <f aca="false">E104*$C$5</f>
        <v>16614.5833333332</v>
      </c>
      <c r="D105" s="38" t="n">
        <f aca="false">$C$4/$C$6</f>
        <v>60416.6666666667</v>
      </c>
      <c r="E105" s="38" t="n">
        <f aca="false">MAX(0,E104-D105)</f>
        <v>1449999.99999999</v>
      </c>
    </row>
    <row r="106" customFormat="false" ht="15" hidden="false" customHeight="true" outlineLevel="0" collapsed="false">
      <c r="A106" s="80" t="n">
        <v>97</v>
      </c>
      <c r="B106" s="38" t="n">
        <f aca="false">C106+D106</f>
        <v>76366.6666666665</v>
      </c>
      <c r="C106" s="38" t="n">
        <f aca="false">E105*$C$5</f>
        <v>15949.9999999999</v>
      </c>
      <c r="D106" s="38" t="n">
        <f aca="false">$C$4/$C$6</f>
        <v>60416.6666666667</v>
      </c>
      <c r="E106" s="38" t="n">
        <f aca="false">MAX(0,E105-D106)</f>
        <v>1389583.33333332</v>
      </c>
    </row>
    <row r="107" customFormat="false" ht="15" hidden="false" customHeight="true" outlineLevel="0" collapsed="false">
      <c r="A107" s="80" t="n">
        <v>98</v>
      </c>
      <c r="B107" s="38" t="n">
        <f aca="false">C107+D107</f>
        <v>75702.0833333332</v>
      </c>
      <c r="C107" s="38" t="n">
        <f aca="false">E106*$C$5</f>
        <v>15285.4166666665</v>
      </c>
      <c r="D107" s="38" t="n">
        <f aca="false">$C$4/$C$6</f>
        <v>60416.6666666667</v>
      </c>
      <c r="E107" s="38" t="n">
        <f aca="false">MAX(0,E106-D107)</f>
        <v>1329166.66666666</v>
      </c>
    </row>
    <row r="108" customFormat="false" ht="15" hidden="false" customHeight="true" outlineLevel="0" collapsed="false">
      <c r="A108" s="80" t="n">
        <v>99</v>
      </c>
      <c r="B108" s="38" t="n">
        <f aca="false">C108+D108</f>
        <v>75037.4999999999</v>
      </c>
      <c r="C108" s="38" t="n">
        <f aca="false">E107*$C$5</f>
        <v>14620.8333333332</v>
      </c>
      <c r="D108" s="38" t="n">
        <f aca="false">$C$4/$C$6</f>
        <v>60416.6666666667</v>
      </c>
      <c r="E108" s="38" t="n">
        <f aca="false">MAX(0,E107-D108)</f>
        <v>1268749.99999999</v>
      </c>
    </row>
    <row r="109" customFormat="false" ht="15" hidden="false" customHeight="true" outlineLevel="0" collapsed="false">
      <c r="A109" s="80" t="n">
        <v>100</v>
      </c>
      <c r="B109" s="38" t="n">
        <f aca="false">C109+D109</f>
        <v>74372.9166666665</v>
      </c>
      <c r="C109" s="38" t="n">
        <f aca="false">E108*$C$5</f>
        <v>13956.2499999999</v>
      </c>
      <c r="D109" s="38" t="n">
        <f aca="false">$C$4/$C$6</f>
        <v>60416.6666666667</v>
      </c>
      <c r="E109" s="38" t="n">
        <f aca="false">MAX(0,E108-D109)</f>
        <v>1208333.33333332</v>
      </c>
    </row>
    <row r="110" customFormat="false" ht="15" hidden="false" customHeight="true" outlineLevel="0" collapsed="false">
      <c r="A110" s="80" t="n">
        <v>101</v>
      </c>
      <c r="B110" s="38" t="n">
        <f aca="false">C110+D110</f>
        <v>73708.3333333332</v>
      </c>
      <c r="C110" s="38" t="n">
        <f aca="false">E109*$C$5</f>
        <v>13291.6666666665</v>
      </c>
      <c r="D110" s="38" t="n">
        <f aca="false">$C$4/$C$6</f>
        <v>60416.6666666667</v>
      </c>
      <c r="E110" s="38" t="n">
        <f aca="false">MAX(0,E109-D110)</f>
        <v>1147916.66666666</v>
      </c>
    </row>
    <row r="111" customFormat="false" ht="15" hidden="false" customHeight="true" outlineLevel="0" collapsed="false">
      <c r="A111" s="80" t="n">
        <v>102</v>
      </c>
      <c r="B111" s="38" t="n">
        <f aca="false">C111+D111</f>
        <v>73043.7499999999</v>
      </c>
      <c r="C111" s="38" t="n">
        <f aca="false">E110*$C$5</f>
        <v>12627.0833333332</v>
      </c>
      <c r="D111" s="38" t="n">
        <f aca="false">$C$4/$C$6</f>
        <v>60416.6666666667</v>
      </c>
      <c r="E111" s="38" t="n">
        <f aca="false">MAX(0,E110-D111)</f>
        <v>1087499.99999999</v>
      </c>
    </row>
    <row r="112" customFormat="false" ht="15" hidden="false" customHeight="true" outlineLevel="0" collapsed="false">
      <c r="A112" s="80" t="n">
        <v>103</v>
      </c>
      <c r="B112" s="38" t="n">
        <f aca="false">C112+D112</f>
        <v>72379.1666666665</v>
      </c>
      <c r="C112" s="38" t="n">
        <f aca="false">E111*$C$5</f>
        <v>11962.4999999999</v>
      </c>
      <c r="D112" s="38" t="n">
        <f aca="false">$C$4/$C$6</f>
        <v>60416.6666666667</v>
      </c>
      <c r="E112" s="38" t="n">
        <f aca="false">MAX(0,E111-D112)</f>
        <v>1027083.33333332</v>
      </c>
    </row>
    <row r="113" customFormat="false" ht="15" hidden="false" customHeight="true" outlineLevel="0" collapsed="false">
      <c r="A113" s="80" t="n">
        <v>104</v>
      </c>
      <c r="B113" s="38" t="n">
        <f aca="false">C113+D113</f>
        <v>71714.5833333332</v>
      </c>
      <c r="C113" s="38" t="n">
        <f aca="false">E112*$C$5</f>
        <v>11297.9166666665</v>
      </c>
      <c r="D113" s="38" t="n">
        <f aca="false">$C$4/$C$6</f>
        <v>60416.6666666667</v>
      </c>
      <c r="E113" s="38" t="n">
        <f aca="false">MAX(0,E112-D113)</f>
        <v>966666.666666655</v>
      </c>
    </row>
    <row r="114" customFormat="false" ht="15" hidden="false" customHeight="true" outlineLevel="0" collapsed="false">
      <c r="A114" s="80" t="n">
        <v>105</v>
      </c>
      <c r="B114" s="38" t="n">
        <f aca="false">C114+D114</f>
        <v>71049.9999999999</v>
      </c>
      <c r="C114" s="38" t="n">
        <f aca="false">E113*$C$5</f>
        <v>10633.3333333332</v>
      </c>
      <c r="D114" s="38" t="n">
        <f aca="false">$C$4/$C$6</f>
        <v>60416.6666666667</v>
      </c>
      <c r="E114" s="38" t="n">
        <f aca="false">MAX(0,E113-D114)</f>
        <v>906249.999999989</v>
      </c>
    </row>
    <row r="115" customFormat="false" ht="15" hidden="false" customHeight="true" outlineLevel="0" collapsed="false">
      <c r="A115" s="80" t="n">
        <v>106</v>
      </c>
      <c r="B115" s="38" t="n">
        <f aca="false">C115+D115</f>
        <v>70385.4166666665</v>
      </c>
      <c r="C115" s="38" t="n">
        <f aca="false">E114*$C$5</f>
        <v>9968.74999999987</v>
      </c>
      <c r="D115" s="38" t="n">
        <f aca="false">$C$4/$C$6</f>
        <v>60416.6666666667</v>
      </c>
      <c r="E115" s="38" t="n">
        <f aca="false">MAX(0,E114-D115)</f>
        <v>845833.333333322</v>
      </c>
    </row>
    <row r="116" customFormat="false" ht="15" hidden="false" customHeight="true" outlineLevel="0" collapsed="false">
      <c r="A116" s="80" t="n">
        <v>107</v>
      </c>
      <c r="B116" s="38" t="n">
        <f aca="false">C116+D116</f>
        <v>69720.8333333332</v>
      </c>
      <c r="C116" s="38" t="n">
        <f aca="false">E115*$C$5</f>
        <v>9304.16666666654</v>
      </c>
      <c r="D116" s="38" t="n">
        <f aca="false">$C$4/$C$6</f>
        <v>60416.6666666667</v>
      </c>
      <c r="E116" s="38" t="n">
        <f aca="false">MAX(0,E115-D116)</f>
        <v>785416.666666656</v>
      </c>
    </row>
    <row r="117" customFormat="false" ht="15" hidden="false" customHeight="true" outlineLevel="0" collapsed="false">
      <c r="A117" s="80" t="n">
        <v>108</v>
      </c>
      <c r="B117" s="38" t="n">
        <f aca="false">C117+D117</f>
        <v>69056.2499999999</v>
      </c>
      <c r="C117" s="38" t="n">
        <f aca="false">E116*$C$5</f>
        <v>8639.58333333321</v>
      </c>
      <c r="D117" s="38" t="n">
        <f aca="false">$C$4/$C$6</f>
        <v>60416.6666666667</v>
      </c>
      <c r="E117" s="38" t="n">
        <f aca="false">MAX(0,E116-D117)</f>
        <v>724999.999999989</v>
      </c>
    </row>
    <row r="118" customFormat="false" ht="15" hidden="false" customHeight="true" outlineLevel="0" collapsed="false">
      <c r="A118" s="80" t="n">
        <v>109</v>
      </c>
      <c r="B118" s="38" t="n">
        <f aca="false">C118+D118</f>
        <v>68391.6666666665</v>
      </c>
      <c r="C118" s="38" t="n">
        <f aca="false">E117*$C$5</f>
        <v>7974.99999999988</v>
      </c>
      <c r="D118" s="38" t="n">
        <f aca="false">$C$4/$C$6</f>
        <v>60416.6666666667</v>
      </c>
      <c r="E118" s="38" t="n">
        <f aca="false">MAX(0,E117-D118)</f>
        <v>664583.333333322</v>
      </c>
    </row>
    <row r="119" customFormat="false" ht="15" hidden="false" customHeight="true" outlineLevel="0" collapsed="false">
      <c r="A119" s="80" t="n">
        <v>110</v>
      </c>
      <c r="B119" s="38" t="n">
        <f aca="false">C119+D119</f>
        <v>67727.0833333332</v>
      </c>
      <c r="C119" s="38" t="n">
        <f aca="false">E118*$C$5</f>
        <v>7310.41666666654</v>
      </c>
      <c r="D119" s="38" t="n">
        <f aca="false">$C$4/$C$6</f>
        <v>60416.6666666667</v>
      </c>
      <c r="E119" s="38" t="n">
        <f aca="false">MAX(0,E118-D119)</f>
        <v>604166.666666656</v>
      </c>
    </row>
    <row r="120" customFormat="false" ht="15" hidden="false" customHeight="true" outlineLevel="0" collapsed="false">
      <c r="A120" s="80" t="n">
        <v>111</v>
      </c>
      <c r="B120" s="38" t="n">
        <f aca="false">C120+D120</f>
        <v>67062.4999999999</v>
      </c>
      <c r="C120" s="38" t="n">
        <f aca="false">E119*$C$5</f>
        <v>6645.83333333321</v>
      </c>
      <c r="D120" s="38" t="n">
        <f aca="false">$C$4/$C$6</f>
        <v>60416.6666666667</v>
      </c>
      <c r="E120" s="38" t="n">
        <f aca="false">MAX(0,E119-D120)</f>
        <v>543749.999999989</v>
      </c>
    </row>
    <row r="121" customFormat="false" ht="15" hidden="false" customHeight="true" outlineLevel="0" collapsed="false">
      <c r="A121" s="80" t="n">
        <v>112</v>
      </c>
      <c r="B121" s="38" t="n">
        <f aca="false">C121+D121</f>
        <v>66397.9166666665</v>
      </c>
      <c r="C121" s="38" t="n">
        <f aca="false">E120*$C$5</f>
        <v>5981.24999999988</v>
      </c>
      <c r="D121" s="38" t="n">
        <f aca="false">$C$4/$C$6</f>
        <v>60416.6666666667</v>
      </c>
      <c r="E121" s="38" t="n">
        <f aca="false">MAX(0,E120-D121)</f>
        <v>483333.333333322</v>
      </c>
    </row>
    <row r="122" customFormat="false" ht="15" hidden="false" customHeight="true" outlineLevel="0" collapsed="false">
      <c r="A122" s="80" t="n">
        <v>113</v>
      </c>
      <c r="B122" s="38" t="n">
        <f aca="false">C122+D122</f>
        <v>65733.3333333332</v>
      </c>
      <c r="C122" s="38" t="n">
        <f aca="false">E121*$C$5</f>
        <v>5316.66666666654</v>
      </c>
      <c r="D122" s="38" t="n">
        <f aca="false">$C$4/$C$6</f>
        <v>60416.6666666667</v>
      </c>
      <c r="E122" s="38" t="n">
        <f aca="false">MAX(0,E121-D122)</f>
        <v>422916.666666656</v>
      </c>
    </row>
    <row r="123" customFormat="false" ht="15" hidden="false" customHeight="true" outlineLevel="0" collapsed="false">
      <c r="A123" s="80" t="n">
        <v>114</v>
      </c>
      <c r="B123" s="38" t="n">
        <f aca="false">C123+D123</f>
        <v>65068.7499999999</v>
      </c>
      <c r="C123" s="38" t="n">
        <f aca="false">E122*$C$5</f>
        <v>4652.08333333321</v>
      </c>
      <c r="D123" s="38" t="n">
        <f aca="false">$C$4/$C$6</f>
        <v>60416.6666666667</v>
      </c>
      <c r="E123" s="38" t="n">
        <f aca="false">MAX(0,E122-D123)</f>
        <v>362499.999999989</v>
      </c>
    </row>
    <row r="124" customFormat="false" ht="15" hidden="false" customHeight="true" outlineLevel="0" collapsed="false">
      <c r="A124" s="80" t="n">
        <v>115</v>
      </c>
      <c r="B124" s="38" t="n">
        <f aca="false">C124+D124</f>
        <v>64404.1666666665</v>
      </c>
      <c r="C124" s="38" t="n">
        <f aca="false">E123*$C$5</f>
        <v>3987.49999999988</v>
      </c>
      <c r="D124" s="38" t="n">
        <f aca="false">$C$4/$C$6</f>
        <v>60416.6666666667</v>
      </c>
      <c r="E124" s="38" t="n">
        <f aca="false">MAX(0,E123-D124)</f>
        <v>302083.333333322</v>
      </c>
    </row>
    <row r="125" customFormat="false" ht="15" hidden="false" customHeight="true" outlineLevel="0" collapsed="false">
      <c r="A125" s="80" t="n">
        <v>116</v>
      </c>
      <c r="B125" s="38" t="n">
        <f aca="false">C125+D125</f>
        <v>63739.5833333332</v>
      </c>
      <c r="C125" s="38" t="n">
        <f aca="false">E124*$C$5</f>
        <v>3322.91666666654</v>
      </c>
      <c r="D125" s="38" t="n">
        <f aca="false">$C$4/$C$6</f>
        <v>60416.6666666667</v>
      </c>
      <c r="E125" s="38" t="n">
        <f aca="false">MAX(0,E124-D125)</f>
        <v>241666.666666656</v>
      </c>
    </row>
    <row r="126" customFormat="false" ht="15" hidden="false" customHeight="true" outlineLevel="0" collapsed="false">
      <c r="A126" s="80" t="n">
        <v>117</v>
      </c>
      <c r="B126" s="38" t="n">
        <f aca="false">C126+D126</f>
        <v>63074.9999999999</v>
      </c>
      <c r="C126" s="38" t="n">
        <f aca="false">E125*$C$5</f>
        <v>2658.33333333321</v>
      </c>
      <c r="D126" s="38" t="n">
        <f aca="false">$C$4/$C$6</f>
        <v>60416.6666666667</v>
      </c>
      <c r="E126" s="38" t="n">
        <f aca="false">MAX(0,E125-D126)</f>
        <v>181249.999999989</v>
      </c>
    </row>
    <row r="127" customFormat="false" ht="15" hidden="false" customHeight="true" outlineLevel="0" collapsed="false">
      <c r="A127" s="80" t="n">
        <v>118</v>
      </c>
      <c r="B127" s="38" t="n">
        <f aca="false">C127+D127</f>
        <v>62410.4166666665</v>
      </c>
      <c r="C127" s="38" t="n">
        <f aca="false">E126*$C$5</f>
        <v>1993.74999999988</v>
      </c>
      <c r="D127" s="38" t="n">
        <f aca="false">$C$4/$C$6</f>
        <v>60416.6666666667</v>
      </c>
      <c r="E127" s="38" t="n">
        <f aca="false">MAX(0,E126-D127)</f>
        <v>120833.333333322</v>
      </c>
    </row>
    <row r="128" customFormat="false" ht="15" hidden="false" customHeight="true" outlineLevel="0" collapsed="false">
      <c r="A128" s="80" t="n">
        <v>119</v>
      </c>
      <c r="B128" s="38" t="n">
        <f aca="false">C128+D128</f>
        <v>61745.8333333332</v>
      </c>
      <c r="C128" s="38" t="n">
        <f aca="false">E127*$C$5</f>
        <v>1329.16666666654</v>
      </c>
      <c r="D128" s="38" t="n">
        <f aca="false">$C$4/$C$6</f>
        <v>60416.6666666667</v>
      </c>
      <c r="E128" s="38" t="n">
        <f aca="false">MAX(0,E127-D128)</f>
        <v>60416.6666666556</v>
      </c>
    </row>
    <row r="129" customFormat="false" ht="15" hidden="false" customHeight="true" outlineLevel="0" collapsed="false">
      <c r="A129" s="80" t="n">
        <v>120</v>
      </c>
      <c r="B129" s="38" t="n">
        <f aca="false">C129+D129</f>
        <v>61081.2499999999</v>
      </c>
      <c r="C129" s="38" t="n">
        <f aca="false">E128*$C$5</f>
        <v>664.583333333211</v>
      </c>
      <c r="D129" s="38" t="n">
        <f aca="false">$C$4/$C$6</f>
        <v>60416.6666666667</v>
      </c>
      <c r="E129" s="38" t="n">
        <f aca="false">MAX(0,E128-D129)</f>
        <v>0</v>
      </c>
    </row>
  </sheetData>
  <mergeCells count="1">
    <mergeCell ref="A2:E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2025-04-20T15:34:46Z</dcterms:created>
  <dc:creator>RJG</dc:creator>
  <dc:description/>
  <dc:language>en-US</dc:language>
  <cp:lastModifiedBy>Ricardo Araujo</cp:lastModifiedBy>
  <dcterms:modified xsi:type="dcterms:W3CDTF">2026-04-07T01:59:24Z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