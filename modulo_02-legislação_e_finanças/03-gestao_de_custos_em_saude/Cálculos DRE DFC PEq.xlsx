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5219\Desktop\FGV\Curta Duração\"/>
    </mc:Choice>
  </mc:AlternateContent>
  <xr:revisionPtr revIDLastSave="0" documentId="13_ncr:1_{6EDC4458-4EC5-4638-A477-93350D26C5EE}" xr6:coauthVersionLast="47" xr6:coauthVersionMax="47" xr10:uidLastSave="{00000000-0000-0000-0000-000000000000}"/>
  <bookViews>
    <workbookView xWindow="-108" yWindow="-108" windowWidth="23256" windowHeight="12456" xr2:uid="{FA5CAAFF-5892-495E-B14A-2CFCA681541B}"/>
  </bookViews>
  <sheets>
    <sheet name="Copetência e Caixa" sheetId="2" r:id="rId1"/>
    <sheet name="DRE e DFC" sheetId="3" r:id="rId2"/>
    <sheet name="Estrutura da DRE" sheetId="1" r:id="rId3"/>
    <sheet name="Estrutura do Fluxo de Caixa " sheetId="5" r:id="rId4"/>
    <sheet name="PEq" sheetId="4" r:id="rId5"/>
    <sheet name="%BP" sheetId="7" r:id="rId6"/>
    <sheet name="% DRE" sheetId="6" r:id="rId7"/>
    <sheet name="Liquidez" sheetId="8" r:id="rId8"/>
    <sheet name="Rentabilidade" sheetId="9" r:id="rId9"/>
    <sheet name="EBTIDA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10" l="1"/>
  <c r="G22" i="10"/>
  <c r="G12" i="10"/>
  <c r="G6" i="10"/>
  <c r="F12" i="10"/>
  <c r="F6" i="10"/>
  <c r="E14" i="9"/>
  <c r="G14" i="9" s="1"/>
  <c r="E11" i="9"/>
  <c r="G11" i="9" s="1"/>
  <c r="G8" i="9"/>
  <c r="E8" i="9"/>
  <c r="G7" i="9"/>
  <c r="E7" i="9"/>
  <c r="G6" i="9"/>
  <c r="E6" i="9"/>
  <c r="E11" i="8"/>
  <c r="G11" i="8" s="1"/>
  <c r="E9" i="8"/>
  <c r="G9" i="8" s="1"/>
  <c r="G7" i="8"/>
  <c r="E7" i="8"/>
  <c r="K24" i="7"/>
  <c r="K17" i="7"/>
  <c r="K10" i="7"/>
  <c r="I24" i="7"/>
  <c r="I17" i="7"/>
  <c r="I10" i="7"/>
  <c r="J23" i="7"/>
  <c r="C20" i="6"/>
  <c r="D20" i="6" s="1"/>
  <c r="D19" i="6"/>
  <c r="D18" i="6"/>
  <c r="D15" i="6"/>
  <c r="D13" i="6"/>
  <c r="D10" i="6"/>
  <c r="D9" i="6"/>
  <c r="C8" i="6"/>
  <c r="C12" i="6" s="1"/>
  <c r="D7" i="6"/>
  <c r="D6" i="6"/>
  <c r="C5" i="6"/>
  <c r="D17" i="6" s="1"/>
  <c r="J41" i="5"/>
  <c r="N41" i="5"/>
  <c r="E40" i="5"/>
  <c r="F40" i="5"/>
  <c r="G40" i="5"/>
  <c r="H40" i="5"/>
  <c r="I40" i="5"/>
  <c r="J40" i="5"/>
  <c r="K40" i="5"/>
  <c r="L40" i="5"/>
  <c r="M40" i="5"/>
  <c r="N40" i="5"/>
  <c r="D40" i="5"/>
  <c r="C40" i="5"/>
  <c r="D15" i="5"/>
  <c r="E15" i="5"/>
  <c r="F15" i="5"/>
  <c r="G15" i="5"/>
  <c r="G41" i="5" s="1"/>
  <c r="H15" i="5"/>
  <c r="H41" i="5" s="1"/>
  <c r="I15" i="5"/>
  <c r="I41" i="5" s="1"/>
  <c r="J15" i="5"/>
  <c r="K15" i="5"/>
  <c r="K41" i="5" s="1"/>
  <c r="L15" i="5"/>
  <c r="L41" i="5" s="1"/>
  <c r="M15" i="5"/>
  <c r="M41" i="5" s="1"/>
  <c r="N15" i="5"/>
  <c r="C15" i="5"/>
  <c r="C14" i="6" l="1"/>
  <c r="D12" i="6"/>
  <c r="D11" i="6"/>
  <c r="D8" i="6"/>
  <c r="F41" i="5"/>
  <c r="E41" i="5"/>
  <c r="D41" i="5"/>
  <c r="C41" i="5"/>
  <c r="C43" i="5" s="1"/>
  <c r="C45" i="5" s="1"/>
  <c r="D42" i="5" s="1"/>
  <c r="D14" i="6" l="1"/>
  <c r="C16" i="6"/>
  <c r="D16" i="6" s="1"/>
  <c r="D43" i="5"/>
  <c r="D45" i="5" s="1"/>
  <c r="E42" i="5" s="1"/>
  <c r="E43" i="5" s="1"/>
  <c r="E45" i="5" s="1"/>
  <c r="F42" i="5" s="1"/>
  <c r="F43" i="5" s="1"/>
  <c r="F45" i="5" s="1"/>
  <c r="G42" i="5" s="1"/>
  <c r="G43" i="5" s="1"/>
  <c r="G45" i="5" s="1"/>
  <c r="H42" i="5" s="1"/>
  <c r="H43" i="5" s="1"/>
  <c r="H45" i="5" s="1"/>
  <c r="I42" i="5" s="1"/>
  <c r="I43" i="5" s="1"/>
  <c r="I45" i="5" s="1"/>
  <c r="J42" i="5" s="1"/>
  <c r="J43" i="5" s="1"/>
  <c r="J45" i="5" s="1"/>
  <c r="K42" i="5" s="1"/>
  <c r="K43" i="5" s="1"/>
  <c r="K45" i="5" s="1"/>
  <c r="L42" i="5" s="1"/>
  <c r="L43" i="5" s="1"/>
  <c r="L45" i="5" s="1"/>
  <c r="M42" i="5" s="1"/>
  <c r="M43" i="5" s="1"/>
  <c r="M45" i="5" s="1"/>
  <c r="N42" i="5" s="1"/>
  <c r="N43" i="5" s="1"/>
  <c r="N45" i="5" s="1"/>
  <c r="B20" i="1"/>
  <c r="B18" i="1"/>
  <c r="B17" i="1"/>
  <c r="B16" i="1"/>
  <c r="B14" i="1"/>
  <c r="B13" i="1"/>
  <c r="B12" i="1"/>
  <c r="B11" i="1"/>
  <c r="B8" i="1"/>
  <c r="B9" i="1"/>
  <c r="B7" i="1"/>
  <c r="K9" i="4"/>
  <c r="K13" i="4" s="1"/>
  <c r="J9" i="4"/>
  <c r="J13" i="4" s="1"/>
  <c r="I9" i="4"/>
  <c r="I13" i="4" s="1"/>
  <c r="H9" i="4"/>
  <c r="H13" i="4" s="1"/>
  <c r="G9" i="4"/>
  <c r="G13" i="4" s="1"/>
  <c r="I31" i="4"/>
  <c r="I35" i="4"/>
  <c r="I36" i="4" s="1"/>
  <c r="F28" i="4" s="1"/>
  <c r="C28" i="4"/>
  <c r="C27" i="4"/>
  <c r="C26" i="4"/>
  <c r="C24" i="4"/>
  <c r="C25" i="4" s="1"/>
  <c r="C23" i="4"/>
  <c r="H13" i="2"/>
  <c r="J13" i="2" s="1"/>
  <c r="H12" i="2"/>
  <c r="J12" i="2" s="1"/>
  <c r="G13" i="2"/>
  <c r="G12" i="2"/>
  <c r="D14" i="2"/>
  <c r="B19" i="1" l="1"/>
  <c r="J14" i="2"/>
  <c r="L13" i="4"/>
  <c r="C29" i="4"/>
  <c r="F21" i="4" s="1"/>
  <c r="F33" i="4" s="1"/>
  <c r="G14" i="2"/>
  <c r="I14" i="4" l="1"/>
  <c r="I15" i="4" s="1"/>
  <c r="I16" i="4" s="1"/>
  <c r="G14" i="4"/>
  <c r="G15" i="4" s="1"/>
  <c r="G16" i="4" s="1"/>
  <c r="J14" i="4"/>
  <c r="J15" i="4" s="1"/>
  <c r="J16" i="4" s="1"/>
  <c r="H14" i="4"/>
  <c r="H15" i="4" s="1"/>
  <c r="H16" i="4" s="1"/>
  <c r="F35" i="4"/>
  <c r="L15" i="4" l="1"/>
</calcChain>
</file>

<file path=xl/sharedStrings.xml><?xml version="1.0" encoding="utf-8"?>
<sst xmlns="http://schemas.openxmlformats.org/spreadsheetml/2006/main" count="305" uniqueCount="264">
  <si>
    <t xml:space="preserve">7.  = Lucro Antes dos Juros e do Imposto de Renda (LAJIR)  </t>
  </si>
  <si>
    <t xml:space="preserve">            + ou (-) Outras Receitas ou Despesas Operacionais </t>
  </si>
  <si>
    <t>9. = Lucro Operacional Líquido ou Lucro Antes do Imposto de Renda</t>
  </si>
  <si>
    <t xml:space="preserve">10. (-) Provisão para Imposto de Renda  e Contribuição Social de Lucro Líquido </t>
  </si>
  <si>
    <r>
      <t>4.</t>
    </r>
    <r>
      <rPr>
        <sz val="14"/>
        <color rgb="FF000000"/>
        <rFont val="Arial"/>
        <family val="2"/>
      </rPr>
      <t xml:space="preserve"> (-) Custo dos Procediemtnos Executados ou Vendidos</t>
    </r>
  </si>
  <si>
    <r>
      <t>1.</t>
    </r>
    <r>
      <rPr>
        <sz val="14"/>
        <color rgb="FF000000"/>
        <rFont val="Arial"/>
        <family val="2"/>
      </rPr>
      <t xml:space="preserve">Receita Bruta </t>
    </r>
    <r>
      <rPr>
        <sz val="14"/>
        <color theme="1"/>
        <rFont val="Arial"/>
        <family val="2"/>
      </rPr>
      <t xml:space="preserve">ou Faturamento </t>
    </r>
    <r>
      <rPr>
        <sz val="14"/>
        <color rgb="FF00B0F0"/>
        <rFont val="Arial"/>
        <family val="2"/>
      </rPr>
      <t>(NF e Recibos Emitidos)</t>
    </r>
  </si>
  <si>
    <r>
      <t>2.</t>
    </r>
    <r>
      <rPr>
        <sz val="14"/>
        <color rgb="FF000000"/>
        <rFont val="Arial"/>
        <family val="2"/>
      </rPr>
      <t xml:space="preserve"> (-) Deduções </t>
    </r>
    <r>
      <rPr>
        <sz val="14"/>
        <color rgb="FF00B0F0"/>
        <rFont val="Arial"/>
        <family val="2"/>
      </rPr>
      <t>(ISS, PIS/COFINS sobre a NF)</t>
    </r>
  </si>
  <si>
    <r>
      <t>3.</t>
    </r>
    <r>
      <rPr>
        <sz val="14"/>
        <color rgb="FF000000"/>
        <rFont val="Arial"/>
        <family val="2"/>
      </rPr>
      <t xml:space="preserve"> = Receita Líquida </t>
    </r>
    <r>
      <rPr>
        <sz val="14"/>
        <color rgb="FF00B0F0"/>
        <rFont val="Arial"/>
        <family val="2"/>
      </rPr>
      <t>(Valor que é do Negócio, da Clínica, Consutório)</t>
    </r>
  </si>
  <si>
    <r>
      <t>5.</t>
    </r>
    <r>
      <rPr>
        <sz val="14"/>
        <color rgb="FF000000"/>
        <rFont val="Arial"/>
        <family val="2"/>
      </rPr>
      <t xml:space="preserve"> = Lucro Bruto</t>
    </r>
    <r>
      <rPr>
        <sz val="14"/>
        <color theme="1"/>
        <rFont val="Arial"/>
        <family val="2"/>
      </rPr>
      <t xml:space="preserve"> </t>
    </r>
    <r>
      <rPr>
        <sz val="14"/>
        <color rgb="FF00B0F0"/>
        <rFont val="Arial"/>
        <family val="2"/>
      </rPr>
      <t>(Resultado da Atividade Principal, do objeto do Contrato Social, CNAE)</t>
    </r>
  </si>
  <si>
    <r>
      <t>6.</t>
    </r>
    <r>
      <rPr>
        <sz val="14"/>
        <color rgb="FF000000"/>
        <rFont val="Arial"/>
        <family val="2"/>
      </rPr>
      <t xml:space="preserve">(-) Despesas Operacionais </t>
    </r>
    <r>
      <rPr>
        <sz val="14"/>
        <color rgb="FF00B0F0"/>
        <rFont val="Arial"/>
        <family val="2"/>
      </rPr>
      <t>(gastos comuns de "Suporte Empresarial, do dia a dia")</t>
    </r>
  </si>
  <si>
    <r>
      <t xml:space="preserve">            (-) Comerciais </t>
    </r>
    <r>
      <rPr>
        <sz val="14"/>
        <color rgb="FF00B0F0"/>
        <rFont val="Arial"/>
        <family val="2"/>
      </rPr>
      <t>(esforço de venda)</t>
    </r>
  </si>
  <si>
    <r>
      <t xml:space="preserve">            (-) Administrativas </t>
    </r>
    <r>
      <rPr>
        <sz val="14"/>
        <color rgb="FF00B0F0"/>
        <rFont val="Arial"/>
        <family val="2"/>
      </rPr>
      <t>(esforço burocrático)</t>
    </r>
  </si>
  <si>
    <r>
      <t>8. + ou (-) Resultado Financeiro Líquido</t>
    </r>
    <r>
      <rPr>
        <sz val="14"/>
        <color rgb="FF00B0F0"/>
        <rFont val="Arial"/>
        <family val="2"/>
      </rPr>
      <t xml:space="preserve"> (Receita Financeira (-) Despesa Financeira) </t>
    </r>
  </si>
  <si>
    <r>
      <t xml:space="preserve">11. = Lucro Líquido do Exercício </t>
    </r>
    <r>
      <rPr>
        <sz val="14"/>
        <color rgb="FF00B0F0"/>
        <rFont val="Arial"/>
        <family val="2"/>
      </rPr>
      <t>(Resultado Final para os Sócios ou crescimento da Empresa)</t>
    </r>
  </si>
  <si>
    <t>À vista</t>
  </si>
  <si>
    <t>CAIXA = à vista</t>
  </si>
  <si>
    <t>Fluxo Projetado = a prazo</t>
  </si>
  <si>
    <t>Ganhar</t>
  </si>
  <si>
    <t>Executar, NF</t>
  </si>
  <si>
    <t>$1.000</t>
  </si>
  <si>
    <t>$170</t>
  </si>
  <si>
    <t>a Receber</t>
  </si>
  <si>
    <t>(-) Gastar</t>
  </si>
  <si>
    <t>Consumir</t>
  </si>
  <si>
    <t>($800)</t>
  </si>
  <si>
    <t>($160)</t>
  </si>
  <si>
    <t>(-) a Pagar</t>
  </si>
  <si>
    <t>Resultado</t>
  </si>
  <si>
    <t>$200</t>
  </si>
  <si>
    <t>$10</t>
  </si>
  <si>
    <t>Lucro Contábil</t>
  </si>
  <si>
    <t>Lucro Financeiro</t>
  </si>
  <si>
    <t>Operações a vista</t>
  </si>
  <si>
    <t>Lucro a Realizar</t>
  </si>
  <si>
    <t>Operações a prazo</t>
  </si>
  <si>
    <t>LUCRO</t>
  </si>
  <si>
    <t>SALDO EM CAIXA</t>
  </si>
  <si>
    <t>Operações a vista e a prazo</t>
  </si>
  <si>
    <t>A prazo</t>
  </si>
  <si>
    <t>COMPETÊNCIA = à vista + a prazo</t>
  </si>
  <si>
    <t>Recebimento</t>
  </si>
  <si>
    <t>(-) Pagamento</t>
  </si>
  <si>
    <t>≠</t>
  </si>
  <si>
    <t>Receita</t>
  </si>
  <si>
    <t>(-) Gasto</t>
  </si>
  <si>
    <t>(-) IR e CSLL de 30% x LAIR</t>
  </si>
  <si>
    <t>($60)</t>
  </si>
  <si>
    <t>(-) IR e CSLL a Pagar</t>
  </si>
  <si>
    <t>$140</t>
  </si>
  <si>
    <t>($50)</t>
  </si>
  <si>
    <t>Lucro</t>
  </si>
  <si>
    <t>Saldo em Caixa</t>
  </si>
  <si>
    <t>Lucro Líquido do Exercício</t>
  </si>
  <si>
    <t xml:space="preserve">Necessidade de Capital de Giro </t>
  </si>
  <si>
    <t>Demonstração do Fluxo de Caixa      DFC = Somente as transações à vista, pois desconsidera as que foram a prazo</t>
  </si>
  <si>
    <t>Demonstração do Resultado do Exercício DRE = Todas as transações, sejam à vista ou a prazo, o que importa é ter acontecido dentro do período</t>
  </si>
  <si>
    <t>Recebimento de 17%</t>
  </si>
  <si>
    <t>(-) Pagamento de 20%</t>
  </si>
  <si>
    <t>Preço da Consulta</t>
  </si>
  <si>
    <t>Particular</t>
  </si>
  <si>
    <t>Operadora 1</t>
  </si>
  <si>
    <t>Operadora 2</t>
  </si>
  <si>
    <t>Operadora 3</t>
  </si>
  <si>
    <t>Operadora 4</t>
  </si>
  <si>
    <t xml:space="preserve">Margem de Contribuição ou seja, Resultado de cada Consulta ou Procedimento </t>
  </si>
  <si>
    <t>Gastos Fixos de um Consultório em Bairro de Classe Média por mês</t>
  </si>
  <si>
    <t xml:space="preserve">Salário Bruto </t>
  </si>
  <si>
    <t>INSS</t>
  </si>
  <si>
    <t>FGTS</t>
  </si>
  <si>
    <t>Multa FGTS</t>
  </si>
  <si>
    <t>Aviso Prévio</t>
  </si>
  <si>
    <t>13 Salário</t>
  </si>
  <si>
    <t>Férias</t>
  </si>
  <si>
    <t>Móveis</t>
  </si>
  <si>
    <t>Equipamentos</t>
  </si>
  <si>
    <t>Depreciação ou Desgastes</t>
  </si>
  <si>
    <t>Soma</t>
  </si>
  <si>
    <t>Tempo de Vida útil</t>
  </si>
  <si>
    <t>10 anos</t>
  </si>
  <si>
    <t>Taxas de Depreciação:</t>
  </si>
  <si>
    <t>Anual</t>
  </si>
  <si>
    <t>Mensal</t>
  </si>
  <si>
    <t>Valor Mensal</t>
  </si>
  <si>
    <t>Total</t>
  </si>
  <si>
    <t>(-) Custo da Consulta</t>
  </si>
  <si>
    <t xml:space="preserve">       com Materiais insumos aplicados no paciente </t>
  </si>
  <si>
    <t>Total dos Gastos Fixos por mês</t>
  </si>
  <si>
    <t>Total dos Gastos Fixos por Ano</t>
  </si>
  <si>
    <t>Gastos Fixos de um Consultório em Bairro de Classe Média por mês já Rateados por Centro de Custos</t>
  </si>
  <si>
    <t>Centros de Custos por Preço da mesma Consulta</t>
  </si>
  <si>
    <t>Secretária</t>
  </si>
  <si>
    <t>Participação do Rateio por arbítrio do Gestor (recomendamos usar um direcionador com aderência de consumo)</t>
  </si>
  <si>
    <t>Quantidade Mensal de Consultas do Ponto de Equilíbrio por Centro de Custos = (Fixos / Margem de Contribuição Unit)</t>
  </si>
  <si>
    <t>SALDO A RECEBER</t>
  </si>
  <si>
    <t>Materiais e Insumos + Mão de Obra Direta na Execução + Gastos com Ambiente Produtivo</t>
  </si>
  <si>
    <t>Participações sobre o Faturamento</t>
  </si>
  <si>
    <t>5% de ISS e 9,25% PIS e COFINS = 14,5%</t>
  </si>
  <si>
    <t>60% Gastos com os Procedimentos</t>
  </si>
  <si>
    <t>25,50% Resultado Principal, só dos Procedimentos</t>
  </si>
  <si>
    <t>2% com Esforço de venda, parte Comercial</t>
  </si>
  <si>
    <t>7% Gastos com a parte Empresarial</t>
  </si>
  <si>
    <t>5% com Esforço burocrático, parte Administrativa</t>
  </si>
  <si>
    <t>5% de Juros bancários, cartões, operadoras</t>
  </si>
  <si>
    <t xml:space="preserve">13,50% de Resultado Operacional </t>
  </si>
  <si>
    <t>18,50% Resiltado Operacional SEM os Juros</t>
  </si>
  <si>
    <t>4,05% de Impostos Federais</t>
  </si>
  <si>
    <t>9,45% de Lucro de Remuneração ou de crescimento</t>
  </si>
  <si>
    <t>DEMONSTRAÇÃO DO RESULTADO DO EXERCÍCIO (Transações a Vista e a Prazo de um mesmo período)</t>
  </si>
  <si>
    <t>PLANILHA DE FLUXO DE CAIXA</t>
  </si>
  <si>
    <t>Outros recebimentos</t>
  </si>
  <si>
    <t>Energia elétrica</t>
  </si>
  <si>
    <t>Despesas diversas</t>
  </si>
  <si>
    <t>13º salário</t>
  </si>
  <si>
    <t>Verbas para rescisão</t>
  </si>
  <si>
    <t>Outros pagamentos</t>
  </si>
  <si>
    <t>2 SALDO ANTERIOR</t>
  </si>
  <si>
    <t>3 SALDO ACUMULADO (1 + 2 )</t>
  </si>
  <si>
    <t>5 SALDO FINAL (3 + 4)</t>
  </si>
  <si>
    <t xml:space="preserve">Período Desejado pelo Gestor: DIA, SEMANA, QUINZENA, MÊS </t>
  </si>
  <si>
    <t>R E C E B I M E N T O S    OU   E N T R A D A S</t>
  </si>
  <si>
    <t>P A G A M E N T O S    OU    S A Í D A S</t>
  </si>
  <si>
    <t>Aporte de Capital de Sócios</t>
  </si>
  <si>
    <t>Operadoras de transações passadas e a prazo</t>
  </si>
  <si>
    <t>Cartões de Crédito</t>
  </si>
  <si>
    <t>Cheques Pré datados</t>
  </si>
  <si>
    <t>Venda ou Alienação de Equipamentos, Máquinas, Móveis</t>
  </si>
  <si>
    <t>Folha de pagamento dos Colaboradores</t>
  </si>
  <si>
    <t>INSS Patronal</t>
  </si>
  <si>
    <t>Impostos (ISS, PIS/COFINS, Imposto de Renda, Contribuição Social)</t>
  </si>
  <si>
    <t>Serviços de Contabilidade e Jurídico</t>
  </si>
  <si>
    <t>Amortização de Empréstimos bancários</t>
  </si>
  <si>
    <t>Empréstimos Bancários Contraídos</t>
  </si>
  <si>
    <t>Financiamentos de Equipamentos, Máquinas, Móveis</t>
  </si>
  <si>
    <t>Despesas financeiras com Juros e Taxas bancárias e de cartões</t>
  </si>
  <si>
    <t>RELACIONE SEUS PAGAMENTOS EM DINHEIRO OU PIX</t>
  </si>
  <si>
    <t>RELACIONE SEUS RECEBIMENTOS EM DINHEIRO OU PIX</t>
  </si>
  <si>
    <t>Aquisições a prazo no passado de Insumos e Medicamentos</t>
  </si>
  <si>
    <t xml:space="preserve">Aquisições a vista de Inumos e Medicamentos </t>
  </si>
  <si>
    <t>Manutenção Predial e de Bens</t>
  </si>
  <si>
    <t>IPVA, Seguro, Limpeza e Manutenção de Veículos</t>
  </si>
  <si>
    <t>Aluguél, Condomínio, IPTU</t>
  </si>
  <si>
    <t>Retiradas sócios, Participação nos Resultados ou Dividendos</t>
  </si>
  <si>
    <t>TOTAL DOS RECEBIMENTOS OU ENTRADAS</t>
  </si>
  <si>
    <t>TOTAL DOS PAGAMENTOS OU SAÍDAS</t>
  </si>
  <si>
    <t xml:space="preserve">1 SALDO DOS MOVIMENTOS DO DIA, SEMANA, QUINZENA OU MÊS </t>
  </si>
  <si>
    <t xml:space="preserve">4 NECESSIDADE EMPRÉSTIMOS PARA CAPITAL DE GIRO </t>
  </si>
  <si>
    <t>Procedimentos realizados à vista</t>
  </si>
  <si>
    <t>Telefone, Internet</t>
  </si>
  <si>
    <t xml:space="preserve">Combustíveis e Lubrificantes </t>
  </si>
  <si>
    <t xml:space="preserve">       com o tempo de 20 minutos de Mão de Obra de Execução do profissional de saúde</t>
  </si>
  <si>
    <t xml:space="preserve">       com o  tempo de 20 minutos de Energia</t>
  </si>
  <si>
    <t>Secretária, encargos trabalhistas, provisões com 13 salário e férias, Salário Bruto de 1.500</t>
  </si>
  <si>
    <t xml:space="preserve">Aluguel </t>
  </si>
  <si>
    <t xml:space="preserve">Condomínio </t>
  </si>
  <si>
    <t xml:space="preserve">IPTU do Consultório </t>
  </si>
  <si>
    <t xml:space="preserve">Internet </t>
  </si>
  <si>
    <t xml:space="preserve">Propaganda </t>
  </si>
  <si>
    <t xml:space="preserve">Limpeza </t>
  </si>
  <si>
    <t xml:space="preserve">Depreciação dos Imobilizados </t>
  </si>
  <si>
    <t xml:space="preserve">Coleta </t>
  </si>
  <si>
    <t xml:space="preserve">Sistema Informatizado (agendamento, prontuário...) </t>
  </si>
  <si>
    <t>Outros gastos para suplementar algum acima insuficiente</t>
  </si>
  <si>
    <t>DEMONSTRAÇÃO DO RESULTADO DO EXERCÍCIO</t>
  </si>
  <si>
    <t>Receita Bruta</t>
  </si>
  <si>
    <t>(-) Deduções (impostos sobre vendas)</t>
  </si>
  <si>
    <t>%</t>
  </si>
  <si>
    <t>Receita Líquida</t>
  </si>
  <si>
    <t xml:space="preserve">% = (Cada Conta / Receita Liquida) X 100 </t>
  </si>
  <si>
    <t>(-) Custo de Produtos Vendidos (C P V)</t>
  </si>
  <si>
    <t>LUCRO BRUTO</t>
  </si>
  <si>
    <t>Margem Bruta</t>
  </si>
  <si>
    <t>(-) Despesas Operacionais</t>
  </si>
  <si>
    <t>Lucro Antes dos Juros e do Imposto de Renda (LAJIR)</t>
  </si>
  <si>
    <t>(-)  Despesas Financeiras= juros passivos</t>
  </si>
  <si>
    <t>LUCRO OPERACIONAL LÍQUIDO</t>
  </si>
  <si>
    <t>Margem Operacional Líquida</t>
  </si>
  <si>
    <t>(-) Resultado Não Operacional "Perda na Alienacao"</t>
  </si>
  <si>
    <t>LUCRO ANTES DO IR (LAIR)</t>
  </si>
  <si>
    <t>(-) Provisão de IR e CS (30% sobre LAIR)</t>
  </si>
  <si>
    <t>LUCRO DEPOIS DO IR E CS</t>
  </si>
  <si>
    <t>(-) Participações de empregados</t>
  </si>
  <si>
    <t>LUCRO LÍQUIDO DO EXERCÍCIO</t>
  </si>
  <si>
    <t>Margem Líquida de Lucro</t>
  </si>
  <si>
    <t xml:space="preserve">       Comerciais ou com Vendas</t>
  </si>
  <si>
    <t xml:space="preserve">      Administrativas  = 47.009 + 62.170 + 11.930 =</t>
  </si>
  <si>
    <t>BALANÇO PATRIMONIAL</t>
  </si>
  <si>
    <t>ATIVO</t>
  </si>
  <si>
    <t>PASSIVO</t>
  </si>
  <si>
    <t>CIRCULANTE</t>
  </si>
  <si>
    <t>Caixa</t>
  </si>
  <si>
    <t>Fornecedores</t>
  </si>
  <si>
    <t>Aplicações financeiras</t>
  </si>
  <si>
    <t>Salários a pagar</t>
  </si>
  <si>
    <t>Clientes</t>
  </si>
  <si>
    <t>Impostos a recolher</t>
  </si>
  <si>
    <t>Mercadoria</t>
  </si>
  <si>
    <t>Provisão de IR (DRE)</t>
  </si>
  <si>
    <t>Seguros pagos antecipad/</t>
  </si>
  <si>
    <t>Empréstimos bancários</t>
  </si>
  <si>
    <t>NÃO CIRCULANTE</t>
  </si>
  <si>
    <t>Realizável a Longo Prazo</t>
  </si>
  <si>
    <t>Debêntures emitidas</t>
  </si>
  <si>
    <t>Empréstimos a controladas</t>
  </si>
  <si>
    <t>Financiamento em 240 meses</t>
  </si>
  <si>
    <t>Tributos parcelados a LP</t>
  </si>
  <si>
    <t>Investimentos em colig e contr</t>
  </si>
  <si>
    <t>Notas promissórias a LP</t>
  </si>
  <si>
    <t>Imobilizado</t>
  </si>
  <si>
    <t>Passivo contingencial a L P</t>
  </si>
  <si>
    <t>Intangível</t>
  </si>
  <si>
    <t>PATRIMÔNIO LÍQUIDO</t>
  </si>
  <si>
    <t>Capital</t>
  </si>
  <si>
    <t>Reservas de Capital</t>
  </si>
  <si>
    <t>Reservas de Lucros</t>
  </si>
  <si>
    <t>Lucro do Exercício (DRE)</t>
  </si>
  <si>
    <t>TOTAL</t>
  </si>
  <si>
    <t>PERMANENTE</t>
  </si>
  <si>
    <t>+ Outras Receitas Operacionais "Aluguel / Estacionamento"</t>
  </si>
  <si>
    <t>Índices de Liquidez</t>
  </si>
  <si>
    <t>Qto maior, melhor</t>
  </si>
  <si>
    <t>Interpretações</t>
  </si>
  <si>
    <t>Fórmulas</t>
  </si>
  <si>
    <t>Padrão</t>
  </si>
  <si>
    <t>Variação</t>
  </si>
  <si>
    <t>Perfil (Qualificação de cada Índice)</t>
  </si>
  <si>
    <t>Insatisfatório</t>
  </si>
  <si>
    <t>Razoável</t>
  </si>
  <si>
    <t>Satisfatório</t>
  </si>
  <si>
    <t>Bom</t>
  </si>
  <si>
    <t>Ótimo</t>
  </si>
  <si>
    <t>SEM ESTOQUE consegue pagar suas dívidas de um ano?</t>
  </si>
  <si>
    <t>(AC – EST) / PC</t>
  </si>
  <si>
    <t>DURANTE UM ANO consegue pagar suas dívidas?</t>
  </si>
  <si>
    <t>AC / PC</t>
  </si>
  <si>
    <t>NO FUTURO conseguirá pagar suas dívidas?</t>
  </si>
  <si>
    <t>(AC + ARLP) /</t>
  </si>
  <si>
    <t>(PC + PNC)</t>
  </si>
  <si>
    <t>Liquidez  Corrente</t>
  </si>
  <si>
    <t>Liquidez Geral</t>
  </si>
  <si>
    <t>Liquidez Seca</t>
  </si>
  <si>
    <t>Índices de Rentabilidade</t>
  </si>
  <si>
    <t>Rentabilidade do Capital Próprio ou PL</t>
  </si>
  <si>
    <t>Quanto o Lucro representa do Patrimônio Líquido</t>
  </si>
  <si>
    <t>(LLEx / PL) x 100</t>
  </si>
  <si>
    <t>Rentabilidade do Ativo ou dos Investimentos ou TIR</t>
  </si>
  <si>
    <t>Quanto o Lucro representa do Ativo</t>
  </si>
  <si>
    <t>(LLEx / A) x 100</t>
  </si>
  <si>
    <t>Qto o Lucro Bruto representa da Receita (atividade Fim)</t>
  </si>
  <si>
    <t>Lucro Bruto</t>
  </si>
  <si>
    <t>x 100</t>
  </si>
  <si>
    <t>Margem Operacional de Lucro</t>
  </si>
  <si>
    <t>Qto o Lucro Operacional representa da Receita (atividade Meio)</t>
  </si>
  <si>
    <t>L Oper Líq</t>
  </si>
  <si>
    <t>Qto o Lucro Líquido representa da Receita</t>
  </si>
  <si>
    <t>L L Ex</t>
  </si>
  <si>
    <t>+ ou (-) Resultado Financeiro (receita financeira (-) despesa financeira)</t>
  </si>
  <si>
    <t xml:space="preserve">Lucro Antes dos Juros e do Imposto de Renda ou LAJIR </t>
  </si>
  <si>
    <t xml:space="preserve"> Lucro Operacional Líquido ou LAIR = Margem Op de Lucro</t>
  </si>
  <si>
    <t>Lucro Antes dos Juros e do Imposto de Renda ou LAJIR</t>
  </si>
  <si>
    <t xml:space="preserve">+ Depreciação do período </t>
  </si>
  <si>
    <t>+ Amortizações do período (Bens Intangíveis)....................................</t>
  </si>
  <si>
    <t xml:space="preserve">        Despesas Operacionais (nos Bens de uso Comerc e Admin)........</t>
  </si>
  <si>
    <t xml:space="preserve">        Custo de Produção (nos Bens de uso nos Procedimentos) ..........</t>
  </si>
  <si>
    <t>EBTIDA (Lucros antes de Juros, Impostos, Depreciação e Amortização)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</si>
</sst>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R$-416]\ * #,##0.00_-;\-[$R$-416]\ * #,##0.00_-;_-[$R$-416]\ * &quot;-&quot;??_-;_-@_-"/>
    <numFmt numFmtId="165" formatCode="0.0000%"/>
    <numFmt numFmtId="166" formatCode="_-&quot;R$&quot;\ * #,##0.00_-;\-&quot;R$&quot;\ * #,##0.00_-;_-&quot;R$&quot;\ * &quot;-&quot;????_-;_-@_-"/>
    <numFmt numFmtId="167" formatCode="_-* #,##0_-;\-* #,##0_-;_-* &quot;-&quot;??_-;_-@_-"/>
    <numFmt numFmtId="168" formatCode="_(* #,##0.00_);_(* \(#,##0.00\);_(* &quot;-&quot;??_);_(@_)"/>
    <numFmt numFmtId="169" formatCode="_(* #,##0_);_(* \(#,##0\);_(* &quot;-&quot;??_);_(@_)"/>
    <numFmt numFmtId="170" formatCode="0.0%"/>
  </numFmts>
  <fonts count="5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4"/>
      <color rgb="FF000000"/>
      <name val="Arial"/>
      <family val="2"/>
    </font>
    <font>
      <sz val="14"/>
      <color rgb="FF00B0F0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8"/>
      <name val="Arial"/>
      <family val="2"/>
    </font>
    <font>
      <b/>
      <sz val="18"/>
      <color rgb="FF000000"/>
      <name val="Arial"/>
      <family val="2"/>
    </font>
    <font>
      <b/>
      <sz val="18"/>
      <color rgb="FFFF0000"/>
      <name val="Arial"/>
      <family val="2"/>
    </font>
    <font>
      <b/>
      <sz val="18"/>
      <color rgb="FF00B0F0"/>
      <name val="Arial"/>
      <family val="2"/>
    </font>
    <font>
      <b/>
      <sz val="20"/>
      <color rgb="FF000000"/>
      <name val="Arial"/>
      <family val="2"/>
    </font>
    <font>
      <b/>
      <sz val="20"/>
      <name val="Arial"/>
      <family val="2"/>
    </font>
    <font>
      <b/>
      <sz val="14"/>
      <color theme="1"/>
      <name val="Aptos Narrow"/>
      <family val="2"/>
      <scheme val="minor"/>
    </font>
    <font>
      <b/>
      <sz val="18"/>
      <color theme="0"/>
      <name val="Arial"/>
      <family val="2"/>
    </font>
    <font>
      <sz val="18"/>
      <color theme="0"/>
      <name val="Arial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0"/>
      <name val="Arial"/>
      <family val="2"/>
    </font>
    <font>
      <b/>
      <sz val="11"/>
      <color rgb="FF00B0F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000000"/>
      <name val="Arial"/>
      <family val="2"/>
    </font>
    <font>
      <sz val="14"/>
      <color rgb="FFFF0000"/>
      <name val="Arial"/>
      <family val="2"/>
    </font>
    <font>
      <b/>
      <sz val="14"/>
      <color rgb="FFFF000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0"/>
      <color theme="0"/>
      <name val="Arial"/>
      <family val="2"/>
    </font>
    <font>
      <sz val="16"/>
      <name val="Arial"/>
      <family val="2"/>
    </font>
    <font>
      <sz val="16"/>
      <color theme="0" tint="-0.14999847407452621"/>
      <name val="Arial"/>
      <family val="2"/>
    </font>
    <font>
      <b/>
      <sz val="12"/>
      <color rgb="FFFF0000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i/>
      <sz val="16"/>
      <color theme="1"/>
      <name val="Arial"/>
      <family val="2"/>
    </font>
    <font>
      <sz val="14"/>
      <color theme="1"/>
      <name val="Calibri"/>
      <family val="2"/>
    </font>
    <font>
      <b/>
      <u/>
      <sz val="14"/>
      <name val="Arial"/>
      <family val="2"/>
    </font>
    <font>
      <b/>
      <sz val="36"/>
      <color rgb="FF00B0F0"/>
      <name val="Arial"/>
      <family val="2"/>
    </font>
    <font>
      <b/>
      <sz val="36"/>
      <color rgb="FFFF0000"/>
      <name val="Arial"/>
      <family val="2"/>
    </font>
    <font>
      <b/>
      <u/>
      <sz val="16"/>
      <color rgb="FFFF0000"/>
      <name val="Arial"/>
      <family val="2"/>
    </font>
    <font>
      <b/>
      <sz val="16"/>
      <color rgb="FFFF0000"/>
      <name val="Arial"/>
      <family val="2"/>
    </font>
    <font>
      <sz val="20"/>
      <color theme="1"/>
      <name val="Aptos Narrow"/>
      <family val="2"/>
      <scheme val="minor"/>
    </font>
    <font>
      <b/>
      <sz val="20"/>
      <color theme="1"/>
      <name val="Arial"/>
      <family val="2"/>
    </font>
    <font>
      <sz val="20"/>
      <color theme="1"/>
      <name val="Arial"/>
      <family val="2"/>
    </font>
    <font>
      <sz val="24"/>
      <color theme="1"/>
      <name val="Arial"/>
      <family val="2"/>
    </font>
    <font>
      <b/>
      <sz val="24"/>
      <color theme="1"/>
      <name val="Arial"/>
      <family val="2"/>
    </font>
    <font>
      <b/>
      <u/>
      <sz val="20"/>
      <color theme="1"/>
      <name val="Arial"/>
      <family val="2"/>
    </font>
    <font>
      <sz val="24"/>
      <color theme="0"/>
      <name val="Arial"/>
      <family val="2"/>
    </font>
    <font>
      <sz val="24"/>
      <color theme="1"/>
      <name val="Aptos Narrow"/>
      <family val="2"/>
      <scheme val="minor"/>
    </font>
    <font>
      <sz val="24"/>
      <color rgb="FFFF0000"/>
      <name val="Arial"/>
      <family val="2"/>
    </font>
    <font>
      <b/>
      <sz val="24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4" tint="0.79998168889431442"/>
        <bgColor indexed="64"/>
      </patternFill>
    </fill>
  </fills>
  <borders count="5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4">
    <xf numFmtId="0" fontId="0" fillId="0" borderId="0" xfId="0"/>
    <xf numFmtId="0" fontId="3" fillId="0" borderId="0" xfId="0" applyFont="1" applyAlignment="1">
      <alignment horizontal="left" vertical="center" indent="8" readingOrder="1"/>
    </xf>
    <xf numFmtId="0" fontId="3" fillId="0" borderId="0" xfId="0" applyFont="1" applyAlignment="1">
      <alignment horizontal="left" vertical="center" indent="9" readingOrder="1"/>
    </xf>
    <xf numFmtId="0" fontId="3" fillId="0" borderId="0" xfId="0" applyFont="1"/>
    <xf numFmtId="0" fontId="3" fillId="0" borderId="0" xfId="0" applyFont="1" applyAlignment="1">
      <alignment horizontal="left" vertical="center" readingOrder="1"/>
    </xf>
    <xf numFmtId="0" fontId="3" fillId="0" borderId="0" xfId="0" applyFont="1" applyAlignment="1">
      <alignment horizontal="left" vertical="center" indent="15" readingOrder="1"/>
    </xf>
    <xf numFmtId="0" fontId="4" fillId="0" borderId="0" xfId="0" applyFont="1"/>
    <xf numFmtId="0" fontId="12" fillId="3" borderId="1" xfId="0" applyFont="1" applyFill="1" applyBorder="1" applyAlignment="1">
      <alignment horizontal="center" vertical="center" wrapText="1" readingOrder="1"/>
    </xf>
    <xf numFmtId="0" fontId="0" fillId="3" borderId="0" xfId="0" applyFill="1"/>
    <xf numFmtId="0" fontId="8" fillId="3" borderId="0" xfId="0" applyFont="1" applyFill="1" applyAlignment="1">
      <alignment horizontal="center"/>
    </xf>
    <xf numFmtId="0" fontId="13" fillId="3" borderId="3" xfId="0" applyFont="1" applyFill="1" applyBorder="1" applyAlignment="1">
      <alignment horizontal="center" vertical="center" wrapText="1" readingOrder="1"/>
    </xf>
    <xf numFmtId="0" fontId="11" fillId="3" borderId="1" xfId="0" applyFont="1" applyFill="1" applyBorder="1" applyAlignment="1">
      <alignment horizontal="left" vertical="center" wrapText="1" readingOrder="1"/>
    </xf>
    <xf numFmtId="0" fontId="11" fillId="3" borderId="1" xfId="0" applyFont="1" applyFill="1" applyBorder="1" applyAlignment="1">
      <alignment horizontal="center" vertical="center" wrapText="1" readingOrder="1"/>
    </xf>
    <xf numFmtId="164" fontId="11" fillId="3" borderId="1" xfId="0" applyNumberFormat="1" applyFont="1" applyFill="1" applyBorder="1" applyAlignment="1">
      <alignment horizontal="center" vertical="center" wrapText="1" readingOrder="1"/>
    </xf>
    <xf numFmtId="9" fontId="17" fillId="3" borderId="1" xfId="0" applyNumberFormat="1" applyFont="1" applyFill="1" applyBorder="1" applyAlignment="1">
      <alignment horizontal="center" vertical="center" wrapText="1" readingOrder="1"/>
    </xf>
    <xf numFmtId="0" fontId="17" fillId="3" borderId="1" xfId="0" applyFont="1" applyFill="1" applyBorder="1" applyAlignment="1">
      <alignment horizontal="left" vertical="center" wrapText="1" readingOrder="1"/>
    </xf>
    <xf numFmtId="164" fontId="17" fillId="3" borderId="1" xfId="0" applyNumberFormat="1" applyFont="1" applyFill="1" applyBorder="1" applyAlignment="1">
      <alignment horizontal="center" vertical="center" wrapText="1" readingOrder="1"/>
    </xf>
    <xf numFmtId="9" fontId="17" fillId="3" borderId="6" xfId="0" applyNumberFormat="1" applyFont="1" applyFill="1" applyBorder="1" applyAlignment="1">
      <alignment horizontal="center" vertical="center" wrapText="1" readingOrder="1"/>
    </xf>
    <xf numFmtId="164" fontId="11" fillId="3" borderId="2" xfId="0" applyNumberFormat="1" applyFont="1" applyFill="1" applyBorder="1" applyAlignment="1">
      <alignment horizontal="center" vertical="center" wrapText="1" readingOrder="1"/>
    </xf>
    <xf numFmtId="0" fontId="18" fillId="3" borderId="9" xfId="0" applyFont="1" applyFill="1" applyBorder="1" applyAlignment="1">
      <alignment vertical="top" wrapText="1"/>
    </xf>
    <xf numFmtId="0" fontId="17" fillId="3" borderId="4" xfId="0" applyFont="1" applyFill="1" applyBorder="1" applyAlignment="1">
      <alignment horizontal="left" vertical="center" wrapText="1" readingOrder="1"/>
    </xf>
    <xf numFmtId="164" fontId="17" fillId="3" borderId="2" xfId="0" applyNumberFormat="1" applyFont="1" applyFill="1" applyBorder="1" applyAlignment="1">
      <alignment horizontal="center" vertical="center" wrapText="1" readingOrder="1"/>
    </xf>
    <xf numFmtId="0" fontId="17" fillId="3" borderId="9" xfId="0" applyFont="1" applyFill="1" applyBorder="1" applyAlignment="1">
      <alignment horizontal="center" vertical="center" wrapText="1" readingOrder="1"/>
    </xf>
    <xf numFmtId="9" fontId="11" fillId="3" borderId="1" xfId="0" applyNumberFormat="1" applyFont="1" applyFill="1" applyBorder="1" applyAlignment="1">
      <alignment horizontal="center" vertical="center" wrapText="1" readingOrder="1"/>
    </xf>
    <xf numFmtId="0" fontId="17" fillId="3" borderId="7" xfId="0" applyFont="1" applyFill="1" applyBorder="1" applyAlignment="1">
      <alignment horizontal="center" vertical="center" wrapText="1" readingOrder="1"/>
    </xf>
    <xf numFmtId="0" fontId="17" fillId="3" borderId="1" xfId="0" applyFont="1" applyFill="1" applyBorder="1" applyAlignment="1">
      <alignment horizontal="center" vertical="center" wrapText="1" readingOrder="1"/>
    </xf>
    <xf numFmtId="0" fontId="17" fillId="3" borderId="2" xfId="0" applyFont="1" applyFill="1" applyBorder="1" applyAlignment="1">
      <alignment horizontal="center" vertical="center" wrapText="1" readingOrder="1"/>
    </xf>
    <xf numFmtId="0" fontId="17" fillId="3" borderId="11" xfId="0" applyFont="1" applyFill="1" applyBorder="1" applyAlignment="1">
      <alignment horizontal="center" vertical="center" wrapText="1" readingOrder="1"/>
    </xf>
    <xf numFmtId="0" fontId="17" fillId="3" borderId="4" xfId="0" applyFont="1" applyFill="1" applyBorder="1" applyAlignment="1">
      <alignment horizontal="center" vertical="center" wrapText="1" readingOrder="1"/>
    </xf>
    <xf numFmtId="0" fontId="10" fillId="3" borderId="6" xfId="0" applyFont="1" applyFill="1" applyBorder="1" applyAlignment="1">
      <alignment horizontal="center" vertical="top" wrapText="1"/>
    </xf>
    <xf numFmtId="0" fontId="15" fillId="3" borderId="1" xfId="0" applyFont="1" applyFill="1" applyBorder="1" applyAlignment="1">
      <alignment horizontal="center" vertical="center" wrapText="1" readingOrder="1"/>
    </xf>
    <xf numFmtId="0" fontId="10" fillId="3" borderId="1" xfId="0" applyFont="1" applyFill="1" applyBorder="1" applyAlignment="1">
      <alignment horizontal="center" vertical="top" wrapText="1"/>
    </xf>
    <xf numFmtId="44" fontId="19" fillId="3" borderId="18" xfId="2" applyFont="1" applyFill="1" applyBorder="1"/>
    <xf numFmtId="0" fontId="19" fillId="3" borderId="18" xfId="0" applyFont="1" applyFill="1" applyBorder="1"/>
    <xf numFmtId="44" fontId="20" fillId="3" borderId="18" xfId="2" applyFont="1" applyFill="1" applyBorder="1" applyAlignment="1"/>
    <xf numFmtId="44" fontId="19" fillId="3" borderId="19" xfId="2" applyFont="1" applyFill="1" applyBorder="1"/>
    <xf numFmtId="0" fontId="21" fillId="3" borderId="1" xfId="0" applyFont="1" applyFill="1" applyBorder="1" applyAlignment="1">
      <alignment horizontal="center" vertical="center" wrapText="1" readingOrder="1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4" fontId="0" fillId="0" borderId="13" xfId="1" applyNumberFormat="1" applyFont="1" applyBorder="1" applyProtection="1">
      <protection locked="0"/>
    </xf>
    <xf numFmtId="4" fontId="0" fillId="0" borderId="28" xfId="1" applyNumberFormat="1" applyFont="1" applyBorder="1" applyProtection="1">
      <protection locked="0"/>
    </xf>
    <xf numFmtId="4" fontId="0" fillId="0" borderId="25" xfId="1" applyNumberFormat="1" applyFont="1" applyBorder="1" applyProtection="1">
      <protection locked="0"/>
    </xf>
    <xf numFmtId="4" fontId="0" fillId="0" borderId="26" xfId="1" applyNumberFormat="1" applyFont="1" applyBorder="1" applyProtection="1">
      <protection locked="0"/>
    </xf>
    <xf numFmtId="4" fontId="0" fillId="0" borderId="9" xfId="1" applyNumberFormat="1" applyFont="1" applyBorder="1" applyProtection="1">
      <protection locked="0"/>
    </xf>
    <xf numFmtId="4" fontId="0" fillId="0" borderId="32" xfId="1" applyNumberFormat="1" applyFont="1" applyBorder="1" applyProtection="1">
      <protection locked="0"/>
    </xf>
    <xf numFmtId="4" fontId="0" fillId="3" borderId="30" xfId="1" applyNumberFormat="1" applyFont="1" applyFill="1" applyBorder="1" applyProtection="1">
      <protection locked="0"/>
    </xf>
    <xf numFmtId="4" fontId="0" fillId="3" borderId="33" xfId="1" applyNumberFormat="1" applyFont="1" applyFill="1" applyBorder="1" applyProtection="1">
      <protection locked="0"/>
    </xf>
    <xf numFmtId="4" fontId="0" fillId="0" borderId="41" xfId="1" applyNumberFormat="1" applyFont="1" applyBorder="1" applyProtection="1">
      <protection locked="0"/>
    </xf>
    <xf numFmtId="4" fontId="0" fillId="0" borderId="42" xfId="1" applyNumberFormat="1" applyFont="1" applyBorder="1" applyProtection="1">
      <protection locked="0"/>
    </xf>
    <xf numFmtId="0" fontId="0" fillId="3" borderId="23" xfId="0" applyFill="1" applyBorder="1" applyAlignment="1">
      <alignment horizontal="center"/>
    </xf>
    <xf numFmtId="0" fontId="0" fillId="3" borderId="24" xfId="0" applyFill="1" applyBorder="1"/>
    <xf numFmtId="0" fontId="0" fillId="5" borderId="0" xfId="0" applyFill="1"/>
    <xf numFmtId="0" fontId="2" fillId="3" borderId="29" xfId="0" applyFont="1" applyFill="1" applyBorder="1" applyAlignment="1">
      <alignment horizontal="right"/>
    </xf>
    <xf numFmtId="4" fontId="0" fillId="3" borderId="30" xfId="1" applyNumberFormat="1" applyFont="1" applyFill="1" applyBorder="1"/>
    <xf numFmtId="0" fontId="2" fillId="3" borderId="29" xfId="0" applyFont="1" applyFill="1" applyBorder="1" applyAlignment="1">
      <alignment horizontal="center"/>
    </xf>
    <xf numFmtId="4" fontId="0" fillId="3" borderId="35" xfId="1" applyNumberFormat="1" applyFont="1" applyFill="1" applyBorder="1"/>
    <xf numFmtId="0" fontId="2" fillId="3" borderId="34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4" fontId="0" fillId="2" borderId="30" xfId="1" applyNumberFormat="1" applyFont="1" applyFill="1" applyBorder="1"/>
    <xf numFmtId="9" fontId="24" fillId="3" borderId="0" xfId="0" applyNumberFormat="1" applyFont="1" applyFill="1" applyAlignment="1">
      <alignment horizontal="center"/>
    </xf>
    <xf numFmtId="0" fontId="24" fillId="3" borderId="0" xfId="0" applyFont="1" applyFill="1" applyAlignment="1">
      <alignment horizontal="center"/>
    </xf>
    <xf numFmtId="10" fontId="24" fillId="3" borderId="0" xfId="0" applyNumberFormat="1" applyFont="1" applyFill="1" applyAlignment="1">
      <alignment horizontal="center"/>
    </xf>
    <xf numFmtId="0" fontId="9" fillId="5" borderId="0" xfId="0" applyFont="1" applyFill="1" applyAlignment="1">
      <alignment horizontal="center" vertical="center" readingOrder="1"/>
    </xf>
    <xf numFmtId="0" fontId="5" fillId="3" borderId="13" xfId="0" applyFont="1" applyFill="1" applyBorder="1" applyAlignment="1">
      <alignment horizontal="left" vertical="center" readingOrder="1"/>
    </xf>
    <xf numFmtId="0" fontId="7" fillId="3" borderId="13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left" vertical="center" readingOrder="1"/>
    </xf>
    <xf numFmtId="0" fontId="5" fillId="0" borderId="0" xfId="0" applyFont="1"/>
    <xf numFmtId="169" fontId="35" fillId="3" borderId="13" xfId="1" applyNumberFormat="1" applyFont="1" applyFill="1" applyBorder="1" applyAlignment="1">
      <alignment horizontal="center" vertical="top" wrapText="1"/>
    </xf>
    <xf numFmtId="9" fontId="36" fillId="3" borderId="13" xfId="0" applyNumberFormat="1" applyFont="1" applyFill="1" applyBorder="1" applyAlignment="1">
      <alignment horizontal="center"/>
    </xf>
    <xf numFmtId="0" fontId="35" fillId="3" borderId="13" xfId="0" applyFont="1" applyFill="1" applyBorder="1" applyAlignment="1">
      <alignment vertical="top" wrapText="1"/>
    </xf>
    <xf numFmtId="2" fontId="36" fillId="3" borderId="13" xfId="0" applyNumberFormat="1" applyFont="1" applyFill="1" applyBorder="1" applyAlignment="1">
      <alignment horizontal="center"/>
    </xf>
    <xf numFmtId="0" fontId="39" fillId="3" borderId="13" xfId="0" applyFont="1" applyFill="1" applyBorder="1" applyAlignment="1">
      <alignment vertical="top" wrapText="1"/>
    </xf>
    <xf numFmtId="169" fontId="35" fillId="3" borderId="13" xfId="1" applyNumberFormat="1" applyFont="1" applyFill="1" applyBorder="1" applyAlignment="1">
      <alignment horizontal="left" vertical="center" wrapText="1"/>
    </xf>
    <xf numFmtId="0" fontId="35" fillId="3" borderId="13" xfId="0" quotePrefix="1" applyFont="1" applyFill="1" applyBorder="1" applyAlignment="1">
      <alignment vertical="top" wrapText="1"/>
    </xf>
    <xf numFmtId="0" fontId="35" fillId="3" borderId="13" xfId="0" applyFont="1" applyFill="1" applyBorder="1"/>
    <xf numFmtId="0" fontId="38" fillId="3" borderId="0" xfId="0" applyFont="1" applyFill="1"/>
    <xf numFmtId="0" fontId="30" fillId="3" borderId="0" xfId="0" applyFont="1" applyFill="1"/>
    <xf numFmtId="168" fontId="35" fillId="3" borderId="13" xfId="1" applyNumberFormat="1" applyFont="1" applyFill="1" applyBorder="1" applyAlignment="1">
      <alignment horizontal="center" vertical="top" wrapText="1"/>
    </xf>
    <xf numFmtId="0" fontId="9" fillId="3" borderId="51" xfId="0" applyFont="1" applyFill="1" applyBorder="1" applyAlignment="1">
      <alignment vertical="center" wrapText="1"/>
    </xf>
    <xf numFmtId="3" fontId="9" fillId="3" borderId="0" xfId="0" applyNumberFormat="1" applyFont="1" applyFill="1" applyAlignment="1">
      <alignment vertical="center" wrapText="1"/>
    </xf>
    <xf numFmtId="4" fontId="9" fillId="3" borderId="18" xfId="0" applyNumberFormat="1" applyFont="1" applyFill="1" applyBorder="1" applyAlignment="1">
      <alignment vertical="center" wrapText="1"/>
    </xf>
    <xf numFmtId="0" fontId="5" fillId="3" borderId="51" xfId="0" applyFont="1" applyFill="1" applyBorder="1" applyAlignment="1">
      <alignment vertical="center" wrapText="1"/>
    </xf>
    <xf numFmtId="3" fontId="5" fillId="3" borderId="0" xfId="0" applyNumberFormat="1" applyFont="1" applyFill="1" applyAlignment="1">
      <alignment vertical="center" wrapText="1"/>
    </xf>
    <xf numFmtId="3" fontId="5" fillId="3" borderId="18" xfId="0" applyNumberFormat="1" applyFont="1" applyFill="1" applyBorder="1" applyAlignment="1">
      <alignment vertical="center" wrapText="1"/>
    </xf>
    <xf numFmtId="3" fontId="9" fillId="3" borderId="0" xfId="0" applyNumberFormat="1" applyFont="1" applyFill="1" applyAlignment="1">
      <alignment vertical="center"/>
    </xf>
    <xf numFmtId="0" fontId="40" fillId="3" borderId="0" xfId="0" applyFont="1" applyFill="1" applyAlignment="1">
      <alignment vertical="top" wrapText="1"/>
    </xf>
    <xf numFmtId="0" fontId="5" fillId="3" borderId="51" xfId="0" applyFont="1" applyFill="1" applyBorder="1" applyAlignment="1">
      <alignment vertical="center"/>
    </xf>
    <xf numFmtId="0" fontId="9" fillId="3" borderId="49" xfId="0" applyFont="1" applyFill="1" applyBorder="1" applyAlignment="1">
      <alignment horizontal="center" vertical="center" wrapText="1"/>
    </xf>
    <xf numFmtId="3" fontId="9" fillId="3" borderId="21" xfId="0" applyNumberFormat="1" applyFont="1" applyFill="1" applyBorder="1" applyAlignment="1">
      <alignment horizontal="center" vertical="center" wrapText="1"/>
    </xf>
    <xf numFmtId="0" fontId="28" fillId="3" borderId="51" xfId="0" applyFont="1" applyFill="1" applyBorder="1" applyAlignment="1">
      <alignment vertical="center" wrapText="1"/>
    </xf>
    <xf numFmtId="4" fontId="28" fillId="3" borderId="18" xfId="0" applyNumberFormat="1" applyFont="1" applyFill="1" applyBorder="1" applyAlignment="1">
      <alignment vertical="center" wrapText="1"/>
    </xf>
    <xf numFmtId="3" fontId="28" fillId="3" borderId="18" xfId="0" applyNumberFormat="1" applyFont="1" applyFill="1" applyBorder="1" applyAlignment="1">
      <alignment vertical="center" wrapText="1"/>
    </xf>
    <xf numFmtId="0" fontId="29" fillId="3" borderId="51" xfId="0" applyFont="1" applyFill="1" applyBorder="1" applyAlignment="1">
      <alignment vertical="center" wrapText="1"/>
    </xf>
    <xf numFmtId="3" fontId="29" fillId="3" borderId="18" xfId="0" applyNumberFormat="1" applyFont="1" applyFill="1" applyBorder="1" applyAlignment="1">
      <alignment vertical="center" wrapText="1"/>
    </xf>
    <xf numFmtId="4" fontId="29" fillId="3" borderId="18" xfId="0" applyNumberFormat="1" applyFont="1" applyFill="1" applyBorder="1" applyAlignment="1">
      <alignment vertical="center" wrapText="1"/>
    </xf>
    <xf numFmtId="0" fontId="9" fillId="3" borderId="51" xfId="0" applyFont="1" applyFill="1" applyBorder="1" applyAlignment="1">
      <alignment horizontal="center" vertical="center" wrapText="1"/>
    </xf>
    <xf numFmtId="0" fontId="29" fillId="3" borderId="51" xfId="0" applyFont="1" applyFill="1" applyBorder="1" applyAlignment="1">
      <alignment horizontal="center" vertical="center" wrapText="1"/>
    </xf>
    <xf numFmtId="0" fontId="41" fillId="3" borderId="51" xfId="0" applyFont="1" applyFill="1" applyBorder="1" applyAlignment="1">
      <alignment horizontal="center" vertical="center" wrapText="1"/>
    </xf>
    <xf numFmtId="3" fontId="9" fillId="3" borderId="0" xfId="0" applyNumberFormat="1" applyFont="1" applyFill="1"/>
    <xf numFmtId="0" fontId="5" fillId="3" borderId="0" xfId="0" applyFont="1" applyFill="1"/>
    <xf numFmtId="0" fontId="6" fillId="3" borderId="0" xfId="0" applyFont="1" applyFill="1" applyAlignment="1">
      <alignment horizontal="justify" vertical="center"/>
    </xf>
    <xf numFmtId="0" fontId="9" fillId="3" borderId="0" xfId="0" applyFont="1" applyFill="1" applyAlignment="1">
      <alignment horizontal="center"/>
    </xf>
    <xf numFmtId="44" fontId="5" fillId="3" borderId="0" xfId="2" applyFont="1" applyFill="1"/>
    <xf numFmtId="44" fontId="28" fillId="3" borderId="0" xfId="0" applyNumberFormat="1" applyFont="1" applyFill="1"/>
    <xf numFmtId="0" fontId="9" fillId="3" borderId="0" xfId="0" applyFont="1" applyFill="1" applyAlignment="1">
      <alignment horizontal="left"/>
    </xf>
    <xf numFmtId="44" fontId="5" fillId="3" borderId="0" xfId="0" applyNumberFormat="1" applyFont="1" applyFill="1"/>
    <xf numFmtId="0" fontId="5" fillId="3" borderId="10" xfId="0" applyFont="1" applyFill="1" applyBorder="1"/>
    <xf numFmtId="44" fontId="5" fillId="3" borderId="15" xfId="2" applyFont="1" applyFill="1" applyBorder="1"/>
    <xf numFmtId="0" fontId="6" fillId="3" borderId="10" xfId="0" applyFont="1" applyFill="1" applyBorder="1" applyAlignment="1">
      <alignment horizontal="justify" vertical="center"/>
    </xf>
    <xf numFmtId="44" fontId="5" fillId="3" borderId="15" xfId="0" applyNumberFormat="1" applyFont="1" applyFill="1" applyBorder="1"/>
    <xf numFmtId="0" fontId="5" fillId="3" borderId="15" xfId="0" applyFont="1" applyFill="1" applyBorder="1"/>
    <xf numFmtId="0" fontId="25" fillId="3" borderId="10" xfId="0" applyFont="1" applyFill="1" applyBorder="1" applyAlignment="1">
      <alignment horizontal="center" vertical="center"/>
    </xf>
    <xf numFmtId="0" fontId="25" fillId="3" borderId="16" xfId="0" applyFont="1" applyFill="1" applyBorder="1" applyAlignment="1">
      <alignment horizontal="center" vertical="center"/>
    </xf>
    <xf numFmtId="44" fontId="5" fillId="3" borderId="17" xfId="0" applyNumberFormat="1" applyFont="1" applyFill="1" applyBorder="1"/>
    <xf numFmtId="0" fontId="5" fillId="2" borderId="0" xfId="0" applyFont="1" applyFill="1"/>
    <xf numFmtId="44" fontId="5" fillId="2" borderId="0" xfId="2" applyFont="1" applyFill="1"/>
    <xf numFmtId="44" fontId="26" fillId="2" borderId="0" xfId="2" applyFont="1" applyFill="1"/>
    <xf numFmtId="44" fontId="5" fillId="2" borderId="0" xfId="2" applyFont="1" applyFill="1" applyAlignment="1"/>
    <xf numFmtId="0" fontId="9" fillId="2" borderId="0" xfId="0" applyFont="1" applyFill="1"/>
    <xf numFmtId="44" fontId="9" fillId="2" borderId="0" xfId="0" applyNumberFormat="1" applyFont="1" applyFill="1"/>
    <xf numFmtId="44" fontId="27" fillId="2" borderId="0" xfId="0" applyNumberFormat="1" applyFont="1" applyFill="1"/>
    <xf numFmtId="0" fontId="27" fillId="2" borderId="0" xfId="0" applyFont="1" applyFill="1"/>
    <xf numFmtId="9" fontId="9" fillId="2" borderId="0" xfId="3" applyFont="1" applyFill="1" applyAlignment="1">
      <alignment horizontal="center"/>
    </xf>
    <xf numFmtId="9" fontId="5" fillId="2" borderId="0" xfId="3" applyFont="1" applyFill="1"/>
    <xf numFmtId="0" fontId="9" fillId="2" borderId="0" xfId="0" applyFont="1" applyFill="1" applyAlignment="1">
      <alignment horizontal="left"/>
    </xf>
    <xf numFmtId="167" fontId="5" fillId="2" borderId="0" xfId="1" applyNumberFormat="1" applyFont="1" applyFill="1"/>
    <xf numFmtId="0" fontId="5" fillId="5" borderId="10" xfId="0" applyFont="1" applyFill="1" applyBorder="1"/>
    <xf numFmtId="44" fontId="5" fillId="5" borderId="15" xfId="2" applyFont="1" applyFill="1" applyBorder="1"/>
    <xf numFmtId="0" fontId="9" fillId="5" borderId="16" xfId="0" applyFont="1" applyFill="1" applyBorder="1"/>
    <xf numFmtId="44" fontId="9" fillId="5" borderId="17" xfId="2" applyFont="1" applyFill="1" applyBorder="1"/>
    <xf numFmtId="44" fontId="5" fillId="5" borderId="14" xfId="2" applyFont="1" applyFill="1" applyBorder="1"/>
    <xf numFmtId="0" fontId="25" fillId="5" borderId="10" xfId="0" applyFont="1" applyFill="1" applyBorder="1" applyAlignment="1">
      <alignment horizontal="justify" vertical="center"/>
    </xf>
    <xf numFmtId="0" fontId="5" fillId="5" borderId="13" xfId="0" applyFont="1" applyFill="1" applyBorder="1"/>
    <xf numFmtId="44" fontId="5" fillId="5" borderId="15" xfId="0" applyNumberFormat="1" applyFont="1" applyFill="1" applyBorder="1"/>
    <xf numFmtId="0" fontId="5" fillId="5" borderId="15" xfId="0" applyFont="1" applyFill="1" applyBorder="1"/>
    <xf numFmtId="9" fontId="5" fillId="5" borderId="15" xfId="0" applyNumberFormat="1" applyFont="1" applyFill="1" applyBorder="1"/>
    <xf numFmtId="165" fontId="5" fillId="5" borderId="15" xfId="3" applyNumberFormat="1" applyFont="1" applyFill="1" applyBorder="1"/>
    <xf numFmtId="9" fontId="9" fillId="5" borderId="16" xfId="3" applyFont="1" applyFill="1" applyBorder="1"/>
    <xf numFmtId="166" fontId="9" fillId="5" borderId="17" xfId="0" applyNumberFormat="1" applyFont="1" applyFill="1" applyBorder="1"/>
    <xf numFmtId="0" fontId="25" fillId="5" borderId="8" xfId="0" applyFont="1" applyFill="1" applyBorder="1" applyAlignment="1">
      <alignment horizontal="left" vertical="center"/>
    </xf>
    <xf numFmtId="0" fontId="9" fillId="6" borderId="0" xfId="0" applyFont="1" applyFill="1" applyAlignment="1">
      <alignment horizontal="left"/>
    </xf>
    <xf numFmtId="0" fontId="5" fillId="6" borderId="0" xfId="0" applyFont="1" applyFill="1"/>
    <xf numFmtId="44" fontId="9" fillId="6" borderId="0" xfId="0" applyNumberFormat="1" applyFont="1" applyFill="1"/>
    <xf numFmtId="44" fontId="5" fillId="6" borderId="0" xfId="0" applyNumberFormat="1" applyFont="1" applyFill="1"/>
    <xf numFmtId="0" fontId="9" fillId="2" borderId="0" xfId="0" applyFont="1" applyFill="1" applyAlignment="1">
      <alignment horizontal="center"/>
    </xf>
    <xf numFmtId="49" fontId="24" fillId="0" borderId="31" xfId="0" applyNumberFormat="1" applyFont="1" applyBorder="1" applyAlignment="1" applyProtection="1">
      <alignment horizontal="left"/>
      <protection locked="0"/>
    </xf>
    <xf numFmtId="49" fontId="24" fillId="0" borderId="24" xfId="0" applyNumberFormat="1" applyFont="1" applyBorder="1" applyAlignment="1" applyProtection="1">
      <alignment horizontal="left"/>
      <protection locked="0"/>
    </xf>
    <xf numFmtId="49" fontId="24" fillId="0" borderId="27" xfId="0" applyNumberFormat="1" applyFont="1" applyBorder="1" applyAlignment="1" applyProtection="1">
      <alignment horizontal="left"/>
      <protection locked="0"/>
    </xf>
    <xf numFmtId="49" fontId="24" fillId="6" borderId="27" xfId="0" applyNumberFormat="1" applyFont="1" applyFill="1" applyBorder="1" applyAlignment="1" applyProtection="1">
      <alignment horizontal="left"/>
      <protection locked="0"/>
    </xf>
    <xf numFmtId="49" fontId="24" fillId="6" borderId="31" xfId="0" applyNumberFormat="1" applyFont="1" applyFill="1" applyBorder="1" applyAlignment="1" applyProtection="1">
      <alignment horizontal="left"/>
      <protection locked="0"/>
    </xf>
    <xf numFmtId="0" fontId="30" fillId="3" borderId="0" xfId="0" applyFont="1" applyFill="1" applyAlignment="1">
      <alignment horizontal="center"/>
    </xf>
    <xf numFmtId="0" fontId="31" fillId="3" borderId="0" xfId="0" applyFont="1" applyFill="1"/>
    <xf numFmtId="0" fontId="32" fillId="3" borderId="10" xfId="0" applyFont="1" applyFill="1" applyBorder="1" applyAlignment="1">
      <alignment vertical="top" wrapText="1"/>
    </xf>
    <xf numFmtId="169" fontId="33" fillId="3" borderId="15" xfId="1" applyNumberFormat="1" applyFont="1" applyFill="1" applyBorder="1" applyAlignment="1">
      <alignment horizontal="center" vertical="top" wrapText="1"/>
    </xf>
    <xf numFmtId="0" fontId="34" fillId="3" borderId="10" xfId="0" applyFont="1" applyFill="1" applyBorder="1"/>
    <xf numFmtId="0" fontId="34" fillId="3" borderId="0" xfId="0" applyFont="1" applyFill="1"/>
    <xf numFmtId="0" fontId="37" fillId="3" borderId="0" xfId="0" applyFont="1" applyFill="1"/>
    <xf numFmtId="0" fontId="44" fillId="3" borderId="13" xfId="0" applyFont="1" applyFill="1" applyBorder="1" applyAlignment="1">
      <alignment vertical="top" wrapText="1"/>
    </xf>
    <xf numFmtId="169" fontId="45" fillId="3" borderId="13" xfId="1" applyNumberFormat="1" applyFont="1" applyFill="1" applyBorder="1" applyAlignment="1">
      <alignment horizontal="center" vertical="top" wrapText="1"/>
    </xf>
    <xf numFmtId="0" fontId="14" fillId="7" borderId="52" xfId="0" applyFont="1" applyFill="1" applyBorder="1" applyAlignment="1">
      <alignment horizontal="center" vertical="center" wrapText="1"/>
    </xf>
    <xf numFmtId="0" fontId="14" fillId="7" borderId="50" xfId="0" applyFont="1" applyFill="1" applyBorder="1" applyAlignment="1">
      <alignment horizontal="center" vertical="center" wrapText="1"/>
    </xf>
    <xf numFmtId="0" fontId="14" fillId="7" borderId="53" xfId="0" applyFont="1" applyFill="1" applyBorder="1" applyAlignment="1">
      <alignment horizontal="center" vertical="center" wrapText="1"/>
    </xf>
    <xf numFmtId="0" fontId="14" fillId="7" borderId="18" xfId="0" applyFont="1" applyFill="1" applyBorder="1" applyAlignment="1">
      <alignment horizontal="center" vertical="center" wrapText="1"/>
    </xf>
    <xf numFmtId="0" fontId="46" fillId="7" borderId="54" xfId="0" applyFont="1" applyFill="1" applyBorder="1" applyAlignment="1">
      <alignment vertical="center" wrapText="1"/>
    </xf>
    <xf numFmtId="0" fontId="46" fillId="7" borderId="19" xfId="0" applyFont="1" applyFill="1" applyBorder="1" applyAlignment="1">
      <alignment vertical="center" wrapText="1"/>
    </xf>
    <xf numFmtId="10" fontId="14" fillId="7" borderId="19" xfId="0" applyNumberFormat="1" applyFont="1" applyFill="1" applyBorder="1" applyAlignment="1">
      <alignment horizontal="right" vertical="center" wrapText="1"/>
    </xf>
    <xf numFmtId="9" fontId="14" fillId="7" borderId="19" xfId="0" applyNumberFormat="1" applyFont="1" applyFill="1" applyBorder="1" applyAlignment="1">
      <alignment horizontal="center" vertical="center" wrapText="1"/>
    </xf>
    <xf numFmtId="10" fontId="14" fillId="7" borderId="19" xfId="0" applyNumberFormat="1" applyFont="1" applyFill="1" applyBorder="1" applyAlignment="1">
      <alignment horizontal="justify" vertical="center" wrapText="1"/>
    </xf>
    <xf numFmtId="0" fontId="47" fillId="0" borderId="54" xfId="0" applyFont="1" applyBorder="1" applyAlignment="1">
      <alignment horizontal="center" vertical="center" wrapText="1"/>
    </xf>
    <xf numFmtId="0" fontId="47" fillId="0" borderId="19" xfId="0" applyFont="1" applyBorder="1" applyAlignment="1">
      <alignment horizontal="center" vertical="center" wrapText="1"/>
    </xf>
    <xf numFmtId="0" fontId="47" fillId="3" borderId="18" xfId="0" applyFont="1" applyFill="1" applyBorder="1" applyAlignment="1">
      <alignment horizontal="center" vertical="center" wrapText="1"/>
    </xf>
    <xf numFmtId="0" fontId="47" fillId="3" borderId="19" xfId="0" applyFont="1" applyFill="1" applyBorder="1" applyAlignment="1">
      <alignment horizontal="center" vertical="center" wrapText="1"/>
    </xf>
    <xf numFmtId="0" fontId="48" fillId="0" borderId="19" xfId="0" applyFont="1" applyBorder="1" applyAlignment="1">
      <alignment horizontal="center" vertical="center" wrapText="1"/>
    </xf>
    <xf numFmtId="0" fontId="51" fillId="3" borderId="18" xfId="0" applyFont="1" applyFill="1" applyBorder="1" applyAlignment="1">
      <alignment horizontal="center" vertical="center" wrapText="1"/>
    </xf>
    <xf numFmtId="9" fontId="52" fillId="0" borderId="19" xfId="0" applyNumberFormat="1" applyFont="1" applyBorder="1" applyAlignment="1">
      <alignment horizontal="center" vertical="center" wrapText="1"/>
    </xf>
    <xf numFmtId="10" fontId="50" fillId="0" borderId="19" xfId="3" applyNumberFormat="1" applyFont="1" applyBorder="1" applyAlignment="1">
      <alignment horizontal="center" vertical="center" wrapText="1"/>
    </xf>
    <xf numFmtId="9" fontId="50" fillId="0" borderId="19" xfId="0" applyNumberFormat="1" applyFont="1" applyBorder="1" applyAlignment="1">
      <alignment horizontal="center" vertical="center" wrapText="1"/>
    </xf>
    <xf numFmtId="170" fontId="50" fillId="0" borderId="19" xfId="0" applyNumberFormat="1" applyFont="1" applyBorder="1" applyAlignment="1">
      <alignment horizontal="center" vertical="center" wrapText="1"/>
    </xf>
    <xf numFmtId="0" fontId="49" fillId="8" borderId="51" xfId="0" applyFont="1" applyFill="1" applyBorder="1" applyAlignment="1">
      <alignment horizontal="justify" vertical="center" wrapText="1"/>
    </xf>
    <xf numFmtId="3" fontId="50" fillId="8" borderId="18" xfId="0" applyNumberFormat="1" applyFont="1" applyFill="1" applyBorder="1" applyAlignment="1">
      <alignment horizontal="center" vertical="center"/>
    </xf>
    <xf numFmtId="3" fontId="49" fillId="8" borderId="18" xfId="0" applyNumberFormat="1" applyFont="1" applyFill="1" applyBorder="1" applyAlignment="1">
      <alignment horizontal="center" vertical="center" wrapText="1"/>
    </xf>
    <xf numFmtId="10" fontId="50" fillId="0" borderId="0" xfId="3" applyNumberFormat="1" applyFont="1"/>
    <xf numFmtId="0" fontId="49" fillId="3" borderId="51" xfId="0" applyFont="1" applyFill="1" applyBorder="1" applyAlignment="1">
      <alignment horizontal="justify" vertical="center" wrapText="1"/>
    </xf>
    <xf numFmtId="0" fontId="49" fillId="3" borderId="18" xfId="0" applyFont="1" applyFill="1" applyBorder="1" applyAlignment="1">
      <alignment horizontal="center" vertical="center"/>
    </xf>
    <xf numFmtId="10" fontId="50" fillId="3" borderId="0" xfId="3" applyNumberFormat="1" applyFont="1" applyFill="1"/>
    <xf numFmtId="0" fontId="54" fillId="3" borderId="51" xfId="0" applyFont="1" applyFill="1" applyBorder="1" applyAlignment="1">
      <alignment horizontal="justify" vertical="center" wrapText="1"/>
    </xf>
    <xf numFmtId="0" fontId="54" fillId="3" borderId="18" xfId="0" applyFont="1" applyFill="1" applyBorder="1" applyAlignment="1">
      <alignment horizontal="center" vertical="center"/>
    </xf>
    <xf numFmtId="10" fontId="55" fillId="3" borderId="0" xfId="3" applyNumberFormat="1" applyFont="1" applyFill="1"/>
    <xf numFmtId="0" fontId="49" fillId="3" borderId="0" xfId="0" applyFont="1" applyFill="1" applyAlignment="1">
      <alignment horizontal="justify" vertical="center"/>
    </xf>
    <xf numFmtId="0" fontId="53" fillId="3" borderId="0" xfId="0" applyFont="1" applyFill="1"/>
    <xf numFmtId="0" fontId="49" fillId="6" borderId="51" xfId="0" applyFont="1" applyFill="1" applyBorder="1" applyAlignment="1">
      <alignment horizontal="justify" vertical="center" wrapText="1"/>
    </xf>
    <xf numFmtId="0" fontId="49" fillId="6" borderId="18" xfId="0" applyFont="1" applyFill="1" applyBorder="1" applyAlignment="1">
      <alignment horizontal="center" vertical="center"/>
    </xf>
    <xf numFmtId="3" fontId="49" fillId="6" borderId="18" xfId="0" applyNumberFormat="1" applyFont="1" applyFill="1" applyBorder="1" applyAlignment="1">
      <alignment horizontal="center" vertical="center"/>
    </xf>
    <xf numFmtId="10" fontId="50" fillId="3" borderId="0" xfId="3" applyNumberFormat="1" applyFont="1" applyFill="1" applyAlignment="1">
      <alignment vertical="center"/>
    </xf>
    <xf numFmtId="10" fontId="49" fillId="3" borderId="0" xfId="3" applyNumberFormat="1" applyFont="1" applyFill="1"/>
    <xf numFmtId="167" fontId="49" fillId="8" borderId="18" xfId="1" applyNumberFormat="1" applyFont="1" applyFill="1" applyBorder="1" applyAlignment="1">
      <alignment vertical="center"/>
    </xf>
    <xf numFmtId="167" fontId="50" fillId="8" borderId="18" xfId="1" applyNumberFormat="1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 vertical="center" wrapText="1" readingOrder="1"/>
    </xf>
    <xf numFmtId="0" fontId="11" fillId="3" borderId="3" xfId="0" applyFont="1" applyFill="1" applyBorder="1" applyAlignment="1">
      <alignment horizontal="center" vertical="center" wrapText="1" readingOrder="1"/>
    </xf>
    <xf numFmtId="0" fontId="11" fillId="3" borderId="4" xfId="0" applyFont="1" applyFill="1" applyBorder="1" applyAlignment="1">
      <alignment horizontal="center" vertical="center" wrapText="1" readingOrder="1"/>
    </xf>
    <xf numFmtId="0" fontId="12" fillId="3" borderId="2" xfId="0" applyFont="1" applyFill="1" applyBorder="1" applyAlignment="1">
      <alignment horizontal="center" vertical="center" wrapText="1" readingOrder="1"/>
    </xf>
    <xf numFmtId="0" fontId="12" fillId="3" borderId="4" xfId="0" applyFont="1" applyFill="1" applyBorder="1" applyAlignment="1">
      <alignment horizontal="center" vertical="center" wrapText="1" readingOrder="1"/>
    </xf>
    <xf numFmtId="0" fontId="13" fillId="3" borderId="2" xfId="0" applyFont="1" applyFill="1" applyBorder="1" applyAlignment="1">
      <alignment horizontal="center" vertical="center" wrapText="1" readingOrder="1"/>
    </xf>
    <xf numFmtId="0" fontId="13" fillId="3" borderId="4" xfId="0" applyFont="1" applyFill="1" applyBorder="1" applyAlignment="1">
      <alignment horizontal="center" vertical="center" wrapText="1" readingOrder="1"/>
    </xf>
    <xf numFmtId="0" fontId="14" fillId="3" borderId="5" xfId="0" applyFont="1" applyFill="1" applyBorder="1" applyAlignment="1">
      <alignment horizontal="center" vertical="center" wrapText="1" readingOrder="1"/>
    </xf>
    <xf numFmtId="0" fontId="14" fillId="3" borderId="12" xfId="0" applyFont="1" applyFill="1" applyBorder="1" applyAlignment="1">
      <alignment horizontal="center" vertical="center" wrapText="1" readingOrder="1"/>
    </xf>
    <xf numFmtId="0" fontId="9" fillId="2" borderId="45" xfId="0" applyFont="1" applyFill="1" applyBorder="1" applyAlignment="1">
      <alignment horizontal="center" vertical="center" readingOrder="1"/>
    </xf>
    <xf numFmtId="0" fontId="9" fillId="2" borderId="21" xfId="0" applyFont="1" applyFill="1" applyBorder="1" applyAlignment="1">
      <alignment horizontal="center" vertical="center" readingOrder="1"/>
    </xf>
    <xf numFmtId="0" fontId="23" fillId="0" borderId="40" xfId="0" applyFont="1" applyBorder="1" applyAlignment="1">
      <alignment horizontal="center"/>
    </xf>
    <xf numFmtId="0" fontId="23" fillId="0" borderId="43" xfId="0" applyFont="1" applyBorder="1" applyAlignment="1">
      <alignment horizontal="center"/>
    </xf>
    <xf numFmtId="0" fontId="23" fillId="0" borderId="44" xfId="0" applyFont="1" applyBorder="1" applyAlignment="1">
      <alignment horizontal="center"/>
    </xf>
    <xf numFmtId="0" fontId="16" fillId="0" borderId="20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16" fillId="4" borderId="39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22" fillId="0" borderId="40" xfId="0" applyFont="1" applyBorder="1" applyAlignment="1">
      <alignment horizontal="center"/>
    </xf>
    <xf numFmtId="0" fontId="22" fillId="0" borderId="43" xfId="0" applyFont="1" applyBorder="1" applyAlignment="1">
      <alignment horizontal="center"/>
    </xf>
    <xf numFmtId="0" fontId="22" fillId="0" borderId="44" xfId="0" applyFont="1" applyBorder="1" applyAlignment="1">
      <alignment horizontal="center"/>
    </xf>
    <xf numFmtId="0" fontId="9" fillId="2" borderId="0" xfId="0" applyFont="1" applyFill="1" applyAlignment="1">
      <alignment horizontal="center" vertical="center"/>
    </xf>
    <xf numFmtId="0" fontId="9" fillId="5" borderId="8" xfId="0" applyFont="1" applyFill="1" applyBorder="1" applyAlignment="1">
      <alignment horizontal="center"/>
    </xf>
    <xf numFmtId="0" fontId="9" fillId="5" borderId="14" xfId="0" applyFont="1" applyFill="1" applyBorder="1" applyAlignment="1">
      <alignment horizontal="center"/>
    </xf>
    <xf numFmtId="0" fontId="9" fillId="6" borderId="43" xfId="0" applyFont="1" applyFill="1" applyBorder="1" applyAlignment="1">
      <alignment horizontal="center"/>
    </xf>
    <xf numFmtId="0" fontId="8" fillId="0" borderId="0" xfId="0" applyFont="1" applyAlignment="1">
      <alignment horizontal="center" vertical="center" wrapText="1"/>
    </xf>
    <xf numFmtId="10" fontId="42" fillId="3" borderId="51" xfId="3" applyNumberFormat="1" applyFont="1" applyFill="1" applyBorder="1" applyAlignment="1">
      <alignment horizontal="center" vertical="center" wrapText="1"/>
    </xf>
    <xf numFmtId="10" fontId="42" fillId="3" borderId="18" xfId="3" applyNumberFormat="1" applyFont="1" applyFill="1" applyBorder="1" applyAlignment="1">
      <alignment horizontal="center" vertical="center" wrapText="1"/>
    </xf>
    <xf numFmtId="10" fontId="42" fillId="3" borderId="48" xfId="3" applyNumberFormat="1" applyFont="1" applyFill="1" applyBorder="1" applyAlignment="1">
      <alignment horizontal="center" vertical="center" wrapText="1"/>
    </xf>
    <xf numFmtId="10" fontId="42" fillId="3" borderId="19" xfId="3" applyNumberFormat="1" applyFont="1" applyFill="1" applyBorder="1" applyAlignment="1">
      <alignment horizontal="center" vertical="center" wrapText="1"/>
    </xf>
    <xf numFmtId="10" fontId="43" fillId="3" borderId="51" xfId="3" applyNumberFormat="1" applyFont="1" applyFill="1" applyBorder="1" applyAlignment="1">
      <alignment horizontal="center" vertical="center" wrapText="1"/>
    </xf>
    <xf numFmtId="10" fontId="43" fillId="3" borderId="18" xfId="3" applyNumberFormat="1" applyFont="1" applyFill="1" applyBorder="1" applyAlignment="1">
      <alignment horizontal="center" vertical="center" wrapText="1"/>
    </xf>
    <xf numFmtId="10" fontId="43" fillId="3" borderId="48" xfId="3" applyNumberFormat="1" applyFont="1" applyFill="1" applyBorder="1" applyAlignment="1">
      <alignment horizontal="center" vertical="center" wrapText="1"/>
    </xf>
    <xf numFmtId="10" fontId="43" fillId="3" borderId="19" xfId="3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9" fillId="0" borderId="50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29" fillId="3" borderId="46" xfId="0" applyFont="1" applyFill="1" applyBorder="1" applyAlignment="1">
      <alignment horizontal="center" vertical="top" wrapText="1"/>
    </xf>
    <xf numFmtId="0" fontId="29" fillId="3" borderId="47" xfId="0" applyFont="1" applyFill="1" applyBorder="1" applyAlignment="1">
      <alignment horizontal="center" vertical="top" wrapText="1"/>
    </xf>
    <xf numFmtId="0" fontId="48" fillId="0" borderId="52" xfId="0" applyFont="1" applyBorder="1" applyAlignment="1">
      <alignment horizontal="center" vertical="center" wrapText="1"/>
    </xf>
    <xf numFmtId="0" fontId="48" fillId="0" borderId="54" xfId="0" applyFont="1" applyBorder="1" applyAlignment="1">
      <alignment horizontal="center" vertical="center" wrapText="1"/>
    </xf>
    <xf numFmtId="0" fontId="47" fillId="3" borderId="52" xfId="0" applyFont="1" applyFill="1" applyBorder="1" applyAlignment="1">
      <alignment horizontal="center" vertical="center" wrapText="1"/>
    </xf>
    <xf numFmtId="0" fontId="47" fillId="3" borderId="54" xfId="0" applyFont="1" applyFill="1" applyBorder="1" applyAlignment="1">
      <alignment horizontal="center" vertical="center" wrapText="1"/>
    </xf>
    <xf numFmtId="2" fontId="50" fillId="0" borderId="52" xfId="0" applyNumberFormat="1" applyFont="1" applyBorder="1" applyAlignment="1">
      <alignment horizontal="center" vertical="center" wrapText="1"/>
    </xf>
    <xf numFmtId="2" fontId="50" fillId="0" borderId="54" xfId="0" applyNumberFormat="1" applyFont="1" applyBorder="1" applyAlignment="1">
      <alignment horizontal="center" vertical="center" wrapText="1"/>
    </xf>
    <xf numFmtId="9" fontId="52" fillId="0" borderId="52" xfId="3" applyFont="1" applyBorder="1" applyAlignment="1">
      <alignment horizontal="center" vertical="center" wrapText="1"/>
    </xf>
    <xf numFmtId="9" fontId="52" fillId="0" borderId="54" xfId="3" applyFont="1" applyBorder="1" applyAlignment="1">
      <alignment horizontal="center" vertical="center" wrapText="1"/>
    </xf>
    <xf numFmtId="0" fontId="47" fillId="0" borderId="52" xfId="0" applyFont="1" applyBorder="1" applyAlignment="1">
      <alignment horizontal="center" vertical="center" wrapText="1"/>
    </xf>
    <xf numFmtId="0" fontId="47" fillId="0" borderId="54" xfId="0" applyFont="1" applyBorder="1" applyAlignment="1">
      <alignment horizontal="center" vertical="center" wrapText="1"/>
    </xf>
    <xf numFmtId="0" fontId="14" fillId="7" borderId="52" xfId="0" applyFont="1" applyFill="1" applyBorder="1" applyAlignment="1">
      <alignment horizontal="center" vertical="center" wrapText="1"/>
    </xf>
    <xf numFmtId="0" fontId="14" fillId="7" borderId="53" xfId="0" applyFont="1" applyFill="1" applyBorder="1" applyAlignment="1">
      <alignment horizontal="center" vertical="center" wrapText="1"/>
    </xf>
    <xf numFmtId="0" fontId="14" fillId="7" borderId="54" xfId="0" applyFont="1" applyFill="1" applyBorder="1" applyAlignment="1">
      <alignment horizontal="center" vertical="center" wrapText="1"/>
    </xf>
    <xf numFmtId="0" fontId="14" fillId="7" borderId="20" xfId="0" applyFont="1" applyFill="1" applyBorder="1" applyAlignment="1">
      <alignment horizontal="center" vertical="center" wrapText="1"/>
    </xf>
    <xf numFmtId="0" fontId="14" fillId="7" borderId="22" xfId="0" applyFont="1" applyFill="1" applyBorder="1" applyAlignment="1">
      <alignment horizontal="center" vertical="center" wrapText="1"/>
    </xf>
    <xf numFmtId="0" fontId="14" fillId="7" borderId="21" xfId="0" applyFont="1" applyFill="1" applyBorder="1" applyAlignment="1">
      <alignment horizontal="center" vertical="center" wrapText="1"/>
    </xf>
    <xf numFmtId="0" fontId="48" fillId="0" borderId="53" xfId="0" applyFont="1" applyBorder="1" applyAlignment="1">
      <alignment horizontal="center" vertical="center" wrapText="1"/>
    </xf>
    <xf numFmtId="0" fontId="47" fillId="0" borderId="53" xfId="0" applyFont="1" applyBorder="1" applyAlignment="1">
      <alignment horizontal="center" vertical="center" wrapText="1"/>
    </xf>
    <xf numFmtId="10" fontId="50" fillId="0" borderId="52" xfId="3" applyNumberFormat="1" applyFont="1" applyBorder="1" applyAlignment="1">
      <alignment horizontal="center" vertical="center" wrapText="1"/>
    </xf>
    <xf numFmtId="10" fontId="50" fillId="0" borderId="53" xfId="3" applyNumberFormat="1" applyFont="1" applyBorder="1" applyAlignment="1">
      <alignment horizontal="center" vertical="center" wrapText="1"/>
    </xf>
    <xf numFmtId="10" fontId="50" fillId="0" borderId="54" xfId="3" applyNumberFormat="1" applyFont="1" applyBorder="1" applyAlignment="1">
      <alignment horizontal="center" vertical="center" wrapText="1"/>
    </xf>
    <xf numFmtId="10" fontId="50" fillId="0" borderId="52" xfId="0" applyNumberFormat="1" applyFont="1" applyBorder="1" applyAlignment="1">
      <alignment horizontal="center" vertical="center" wrapText="1"/>
    </xf>
    <xf numFmtId="10" fontId="50" fillId="0" borderId="53" xfId="0" applyNumberFormat="1" applyFont="1" applyBorder="1" applyAlignment="1">
      <alignment horizontal="center" vertical="center" wrapText="1"/>
    </xf>
    <xf numFmtId="10" fontId="50" fillId="0" borderId="54" xfId="0" applyNumberFormat="1" applyFont="1" applyBorder="1" applyAlignment="1">
      <alignment horizontal="center" vertical="center" wrapText="1"/>
    </xf>
    <xf numFmtId="9" fontId="52" fillId="0" borderId="52" xfId="0" applyNumberFormat="1" applyFont="1" applyBorder="1" applyAlignment="1">
      <alignment horizontal="center" vertical="center" wrapText="1"/>
    </xf>
    <xf numFmtId="9" fontId="52" fillId="0" borderId="53" xfId="0" applyNumberFormat="1" applyFont="1" applyBorder="1" applyAlignment="1">
      <alignment horizontal="center" vertical="center" wrapText="1"/>
    </xf>
    <xf numFmtId="9" fontId="52" fillId="0" borderId="54" xfId="0" applyNumberFormat="1" applyFont="1" applyBorder="1" applyAlignment="1">
      <alignment horizontal="center" vertical="center" wrapText="1"/>
    </xf>
    <xf numFmtId="9" fontId="50" fillId="0" borderId="52" xfId="0" applyNumberFormat="1" applyFont="1" applyBorder="1" applyAlignment="1">
      <alignment horizontal="center" vertical="center" wrapText="1"/>
    </xf>
    <xf numFmtId="9" fontId="50" fillId="0" borderId="53" xfId="0" applyNumberFormat="1" applyFont="1" applyBorder="1" applyAlignment="1">
      <alignment horizontal="center" vertical="center" wrapText="1"/>
    </xf>
    <xf numFmtId="9" fontId="50" fillId="0" borderId="54" xfId="0" applyNumberFormat="1" applyFont="1" applyBorder="1" applyAlignment="1">
      <alignment horizontal="center" vertical="center" wrapText="1"/>
    </xf>
    <xf numFmtId="10" fontId="49" fillId="3" borderId="51" xfId="3" applyNumberFormat="1" applyFont="1" applyFill="1" applyBorder="1" applyAlignment="1">
      <alignment horizontal="center" vertical="center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2">
    <dxf>
      <font>
        <condense val="0"/>
        <extend val="0"/>
        <color rgb="FF9C0006"/>
      </font>
    </dxf>
    <dxf>
      <font>
        <condense val="0"/>
        <extend val="0"/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FF839-BC3D-4326-93F8-98341EB0CA87}">
  <dimension ref="A1:N36"/>
  <sheetViews>
    <sheetView tabSelected="1" zoomScale="80" zoomScaleNormal="80" workbookViewId="0">
      <selection activeCell="D27" sqref="D27"/>
    </sheetView>
  </sheetViews>
  <sheetFormatPr defaultRowHeight="14.4" x14ac:dyDescent="0.3"/>
  <cols>
    <col min="2" max="2" width="30.33203125" bestFit="1" customWidth="1"/>
    <col min="3" max="3" width="32.6640625" bestFit="1" customWidth="1"/>
    <col min="4" max="4" width="24.33203125" bestFit="1" customWidth="1"/>
    <col min="5" max="5" width="12.6640625" bestFit="1" customWidth="1"/>
    <col min="6" max="6" width="31.33203125" customWidth="1"/>
    <col min="7" max="7" width="23.6640625" customWidth="1"/>
    <col min="8" max="8" width="14.33203125" bestFit="1" customWidth="1"/>
    <col min="9" max="9" width="37" customWidth="1"/>
    <col min="10" max="10" width="21.6640625" customWidth="1"/>
  </cols>
  <sheetData>
    <row r="1" spans="1:14" x14ac:dyDescent="0.3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</row>
    <row r="2" spans="1:14" x14ac:dyDescent="0.3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</row>
    <row r="3" spans="1:14" x14ac:dyDescent="0.3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</row>
    <row r="4" spans="1:14" x14ac:dyDescent="0.3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</row>
    <row r="5" spans="1:14" x14ac:dyDescent="0.3">
      <c r="A5" s="51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</row>
    <row r="6" spans="1:14" x14ac:dyDescent="0.3">
      <c r="A6" s="51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</row>
    <row r="7" spans="1:14" x14ac:dyDescent="0.3">
      <c r="A7" s="51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</row>
    <row r="8" spans="1:14" x14ac:dyDescent="0.3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</row>
    <row r="9" spans="1:14" x14ac:dyDescent="0.3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</row>
    <row r="10" spans="1:14" ht="15" thickBot="1" x14ac:dyDescent="0.35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</row>
    <row r="11" spans="1:14" ht="23.4" thickBot="1" x14ac:dyDescent="0.35">
      <c r="A11" s="51"/>
      <c r="B11" s="197" t="s">
        <v>39</v>
      </c>
      <c r="C11" s="198"/>
      <c r="D11" s="199"/>
      <c r="E11" s="7" t="s">
        <v>14</v>
      </c>
      <c r="F11" s="200" t="s">
        <v>15</v>
      </c>
      <c r="G11" s="201"/>
      <c r="H11" s="10" t="s">
        <v>38</v>
      </c>
      <c r="I11" s="202" t="s">
        <v>16</v>
      </c>
      <c r="J11" s="203"/>
      <c r="K11" s="51"/>
      <c r="L11" s="51"/>
      <c r="M11" s="51"/>
      <c r="N11" s="51"/>
    </row>
    <row r="12" spans="1:14" ht="23.4" thickBot="1" x14ac:dyDescent="0.35">
      <c r="A12" s="51"/>
      <c r="B12" s="11" t="s">
        <v>17</v>
      </c>
      <c r="C12" s="12" t="s">
        <v>18</v>
      </c>
      <c r="D12" s="13">
        <v>1000</v>
      </c>
      <c r="E12" s="14">
        <v>0.17</v>
      </c>
      <c r="F12" s="15" t="s">
        <v>40</v>
      </c>
      <c r="G12" s="16">
        <f>D12*E12</f>
        <v>170</v>
      </c>
      <c r="H12" s="14">
        <f>1-E12</f>
        <v>0.83</v>
      </c>
      <c r="I12" s="15" t="s">
        <v>21</v>
      </c>
      <c r="J12" s="16">
        <f>D12*H12</f>
        <v>830</v>
      </c>
      <c r="K12" s="51"/>
      <c r="L12" s="51"/>
      <c r="M12" s="51"/>
      <c r="N12" s="51"/>
    </row>
    <row r="13" spans="1:14" ht="23.4" thickBot="1" x14ac:dyDescent="0.35">
      <c r="A13" s="51"/>
      <c r="B13" s="11" t="s">
        <v>22</v>
      </c>
      <c r="C13" s="12" t="s">
        <v>23</v>
      </c>
      <c r="D13" s="13">
        <v>800</v>
      </c>
      <c r="E13" s="17">
        <v>0.2</v>
      </c>
      <c r="F13" s="15" t="s">
        <v>41</v>
      </c>
      <c r="G13" s="16">
        <f>D13*E13</f>
        <v>160</v>
      </c>
      <c r="H13" s="17">
        <f>1-E13</f>
        <v>0.8</v>
      </c>
      <c r="I13" s="15" t="s">
        <v>26</v>
      </c>
      <c r="J13" s="16">
        <f>D13*H13</f>
        <v>640</v>
      </c>
      <c r="K13" s="51"/>
      <c r="L13" s="51"/>
      <c r="M13" s="51"/>
      <c r="N13" s="51"/>
    </row>
    <row r="14" spans="1:14" ht="23.4" thickBot="1" x14ac:dyDescent="0.35">
      <c r="A14" s="51"/>
      <c r="B14" s="11" t="s">
        <v>35</v>
      </c>
      <c r="C14" s="12" t="s">
        <v>27</v>
      </c>
      <c r="D14" s="18">
        <f>D12-D13</f>
        <v>200</v>
      </c>
      <c r="E14" s="19"/>
      <c r="F14" s="20" t="s">
        <v>36</v>
      </c>
      <c r="G14" s="21">
        <f>G12-G13</f>
        <v>10</v>
      </c>
      <c r="H14" s="22"/>
      <c r="I14" s="20" t="s">
        <v>93</v>
      </c>
      <c r="J14" s="16">
        <f>J12-J13</f>
        <v>190</v>
      </c>
      <c r="K14" s="51"/>
      <c r="L14" s="51"/>
      <c r="M14" s="51"/>
      <c r="N14" s="51"/>
    </row>
    <row r="15" spans="1:14" ht="46.2" thickBot="1" x14ac:dyDescent="0.35">
      <c r="A15" s="51"/>
      <c r="B15" s="12" t="s">
        <v>37</v>
      </c>
      <c r="C15" s="12" t="s">
        <v>30</v>
      </c>
      <c r="D15" s="23">
        <v>1</v>
      </c>
      <c r="E15" s="24"/>
      <c r="F15" s="25" t="s">
        <v>32</v>
      </c>
      <c r="G15" s="26" t="s">
        <v>31</v>
      </c>
      <c r="H15" s="27"/>
      <c r="I15" s="28" t="s">
        <v>34</v>
      </c>
      <c r="J15" s="25" t="s">
        <v>33</v>
      </c>
      <c r="K15" s="51"/>
      <c r="L15" s="51"/>
      <c r="M15" s="51"/>
      <c r="N15" s="51"/>
    </row>
    <row r="16" spans="1:14" x14ac:dyDescent="0.3">
      <c r="A16" s="51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</row>
    <row r="17" spans="1:14" x14ac:dyDescent="0.3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</row>
    <row r="18" spans="1:14" x14ac:dyDescent="0.3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</row>
    <row r="19" spans="1:14" x14ac:dyDescent="0.3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</row>
    <row r="20" spans="1:14" x14ac:dyDescent="0.3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</row>
    <row r="21" spans="1:14" x14ac:dyDescent="0.3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</row>
    <row r="22" spans="1:14" x14ac:dyDescent="0.3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</row>
    <row r="23" spans="1:14" x14ac:dyDescent="0.3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</row>
    <row r="24" spans="1:14" x14ac:dyDescent="0.3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</row>
    <row r="25" spans="1:14" x14ac:dyDescent="0.3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</row>
    <row r="26" spans="1:14" x14ac:dyDescent="0.3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</row>
    <row r="27" spans="1:14" x14ac:dyDescent="0.3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</row>
    <row r="28" spans="1:14" x14ac:dyDescent="0.3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</row>
    <row r="29" spans="1:14" x14ac:dyDescent="0.3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</row>
    <row r="30" spans="1:14" x14ac:dyDescent="0.3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</row>
    <row r="31" spans="1:14" x14ac:dyDescent="0.3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</row>
    <row r="32" spans="1:14" x14ac:dyDescent="0.3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</row>
    <row r="33" spans="1:14" x14ac:dyDescent="0.3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</row>
    <row r="34" spans="1:14" x14ac:dyDescent="0.3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</row>
    <row r="35" spans="1:14" x14ac:dyDescent="0.3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</row>
    <row r="36" spans="1:14" x14ac:dyDescent="0.3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</row>
  </sheetData>
  <mergeCells count="3">
    <mergeCell ref="B11:D11"/>
    <mergeCell ref="F11:G11"/>
    <mergeCell ref="I11:J1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D6AE7-8BD5-41F0-8EF6-5E76AEB5FF60}">
  <dimension ref="A1:AF28"/>
  <sheetViews>
    <sheetView workbookViewId="0">
      <selection activeCell="F13" sqref="F13"/>
    </sheetView>
  </sheetViews>
  <sheetFormatPr defaultRowHeight="14.4" x14ac:dyDescent="0.3"/>
  <cols>
    <col min="2" max="2" width="56.6640625" customWidth="1"/>
    <col min="3" max="3" width="25.44140625" customWidth="1"/>
    <col min="5" max="5" width="60.88671875" customWidth="1"/>
    <col min="6" max="6" width="16.33203125" customWidth="1"/>
  </cols>
  <sheetData>
    <row r="1" spans="1:32" x14ac:dyDescent="0.3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</row>
    <row r="2" spans="1:32" x14ac:dyDescent="0.3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x14ac:dyDescent="0.3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 spans="1:32" x14ac:dyDescent="0.3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</row>
    <row r="5" spans="1:32" x14ac:dyDescent="0.3">
      <c r="A5" s="51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 spans="1:32" x14ac:dyDescent="0.3">
      <c r="A6" s="51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 spans="1:32" x14ac:dyDescent="0.3">
      <c r="A7" s="51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 spans="1:32" x14ac:dyDescent="0.3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x14ac:dyDescent="0.3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</row>
    <row r="10" spans="1:32" ht="15" thickBot="1" x14ac:dyDescent="0.35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</row>
    <row r="11" spans="1:32" ht="157.5" customHeight="1" thickBot="1" x14ac:dyDescent="0.35">
      <c r="A11" s="51"/>
      <c r="B11" s="204" t="s">
        <v>55</v>
      </c>
      <c r="C11" s="205"/>
      <c r="D11" s="29"/>
      <c r="E11" s="204" t="s">
        <v>54</v>
      </c>
      <c r="F11" s="205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</row>
    <row r="12" spans="1:32" ht="25.2" thickBot="1" x14ac:dyDescent="0.35">
      <c r="A12" s="51"/>
      <c r="B12" s="30" t="s">
        <v>43</v>
      </c>
      <c r="C12" s="30" t="s">
        <v>19</v>
      </c>
      <c r="D12" s="30" t="s">
        <v>42</v>
      </c>
      <c r="E12" s="30" t="s">
        <v>56</v>
      </c>
      <c r="F12" s="36" t="s">
        <v>20</v>
      </c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</row>
    <row r="13" spans="1:32" ht="25.2" thickBot="1" x14ac:dyDescent="0.35">
      <c r="A13" s="51"/>
      <c r="B13" s="30" t="s">
        <v>44</v>
      </c>
      <c r="C13" s="30" t="s">
        <v>24</v>
      </c>
      <c r="D13" s="30" t="s">
        <v>42</v>
      </c>
      <c r="E13" s="30" t="s">
        <v>57</v>
      </c>
      <c r="F13" s="36" t="s">
        <v>25</v>
      </c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</row>
    <row r="14" spans="1:32" ht="25.2" thickBot="1" x14ac:dyDescent="0.35">
      <c r="A14" s="51"/>
      <c r="B14" s="30" t="s">
        <v>50</v>
      </c>
      <c r="C14" s="30" t="s">
        <v>28</v>
      </c>
      <c r="D14" s="30" t="s">
        <v>42</v>
      </c>
      <c r="E14" s="30" t="s">
        <v>51</v>
      </c>
      <c r="F14" s="36" t="s">
        <v>29</v>
      </c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</row>
    <row r="15" spans="1:32" ht="41.25" customHeight="1" thickBot="1" x14ac:dyDescent="0.35">
      <c r="A15" s="51"/>
      <c r="B15" s="30" t="s">
        <v>45</v>
      </c>
      <c r="C15" s="30" t="s">
        <v>46</v>
      </c>
      <c r="D15" s="31"/>
      <c r="E15" s="30" t="s">
        <v>47</v>
      </c>
      <c r="F15" s="36" t="s">
        <v>46</v>
      </c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</row>
    <row r="16" spans="1:32" ht="25.2" thickBot="1" x14ac:dyDescent="0.35">
      <c r="A16" s="51"/>
      <c r="B16" s="30" t="s">
        <v>52</v>
      </c>
      <c r="C16" s="30" t="s">
        <v>48</v>
      </c>
      <c r="D16" s="31"/>
      <c r="E16" s="30" t="s">
        <v>53</v>
      </c>
      <c r="F16" s="36" t="s">
        <v>49</v>
      </c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</row>
    <row r="17" spans="1:32" x14ac:dyDescent="0.3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</row>
    <row r="18" spans="1:32" x14ac:dyDescent="0.3">
      <c r="A18" s="51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</row>
    <row r="19" spans="1:32" x14ac:dyDescent="0.3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</row>
    <row r="20" spans="1:32" x14ac:dyDescent="0.3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</row>
    <row r="21" spans="1:32" x14ac:dyDescent="0.3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</row>
    <row r="22" spans="1:32" x14ac:dyDescent="0.3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  <row r="23" spans="1:32" x14ac:dyDescent="0.3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</row>
    <row r="24" spans="1:32" x14ac:dyDescent="0.3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</row>
    <row r="25" spans="1:32" x14ac:dyDescent="0.3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</row>
    <row r="26" spans="1:32" x14ac:dyDescent="0.3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</row>
    <row r="27" spans="1:32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</row>
    <row r="28" spans="1:32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</row>
  </sheetData>
  <mergeCells count="2">
    <mergeCell ref="B11:C11"/>
    <mergeCell ref="E11:F1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2FA7F-DDE0-484E-95DE-AD7C08AB06D3}">
  <dimension ref="A1:Q33"/>
  <sheetViews>
    <sheetView zoomScale="120" zoomScaleNormal="120" workbookViewId="0">
      <selection activeCell="A5" sqref="A5:B5"/>
    </sheetView>
  </sheetViews>
  <sheetFormatPr defaultRowHeight="14.4" x14ac:dyDescent="0.3"/>
  <cols>
    <col min="1" max="1" width="114.109375" customWidth="1"/>
    <col min="2" max="2" width="19.109375" bestFit="1" customWidth="1"/>
    <col min="3" max="3" width="60.109375" bestFit="1" customWidth="1"/>
    <col min="4" max="4" width="54.5546875" bestFit="1" customWidth="1"/>
  </cols>
  <sheetData>
    <row r="1" spans="1:17" x14ac:dyDescent="0.3">
      <c r="A1" s="51"/>
      <c r="B1" s="51"/>
      <c r="C1" s="51"/>
      <c r="D1" s="51"/>
    </row>
    <row r="2" spans="1:17" x14ac:dyDescent="0.3">
      <c r="A2" s="51"/>
      <c r="B2" s="51"/>
      <c r="C2" s="51"/>
      <c r="D2" s="51"/>
    </row>
    <row r="3" spans="1:17" x14ac:dyDescent="0.3">
      <c r="A3" s="51"/>
      <c r="B3" s="51"/>
      <c r="C3" s="51"/>
      <c r="D3" s="51"/>
    </row>
    <row r="4" spans="1:17" ht="15" thickBot="1" x14ac:dyDescent="0.35">
      <c r="A4" s="51"/>
      <c r="B4" s="51"/>
      <c r="C4" s="51"/>
      <c r="D4" s="51"/>
    </row>
    <row r="5" spans="1:17" ht="18" thickBot="1" x14ac:dyDescent="0.35">
      <c r="A5" s="206" t="s">
        <v>107</v>
      </c>
      <c r="B5" s="207"/>
      <c r="C5" s="9" t="s">
        <v>95</v>
      </c>
      <c r="D5" s="62"/>
    </row>
    <row r="6" spans="1:17" ht="18" x14ac:dyDescent="0.35">
      <c r="A6" s="63" t="s">
        <v>5</v>
      </c>
      <c r="B6" s="32">
        <v>100000</v>
      </c>
      <c r="C6" s="59">
        <v>1</v>
      </c>
      <c r="D6" s="51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ht="18" x14ac:dyDescent="0.35">
      <c r="A7" s="63" t="s">
        <v>6</v>
      </c>
      <c r="B7" s="32">
        <f>-B6*0.145</f>
        <v>-14499.999999999998</v>
      </c>
      <c r="C7" s="60" t="s">
        <v>96</v>
      </c>
      <c r="D7" s="51"/>
      <c r="E7" s="1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 ht="18" x14ac:dyDescent="0.35">
      <c r="A8" s="63" t="s">
        <v>7</v>
      </c>
      <c r="B8" s="32">
        <f>B6*0.855</f>
        <v>85500</v>
      </c>
      <c r="C8" s="61">
        <v>0.85499999999999998</v>
      </c>
      <c r="D8" s="51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 ht="18" x14ac:dyDescent="0.35">
      <c r="A9" s="63" t="s">
        <v>4</v>
      </c>
      <c r="B9" s="32">
        <f>-B6*0.6</f>
        <v>-60000</v>
      </c>
      <c r="C9" s="60" t="s">
        <v>97</v>
      </c>
      <c r="D9" s="51"/>
      <c r="E9" s="2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17" ht="18" customHeight="1" x14ac:dyDescent="0.35">
      <c r="A10" s="64" t="s">
        <v>94</v>
      </c>
      <c r="B10" s="33"/>
      <c r="C10" s="60"/>
      <c r="D10" s="51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7" ht="18" x14ac:dyDescent="0.35">
      <c r="A11" s="63" t="s">
        <v>8</v>
      </c>
      <c r="B11" s="32">
        <f>B6*0.255</f>
        <v>25500</v>
      </c>
      <c r="C11" s="60" t="s">
        <v>98</v>
      </c>
      <c r="D11" s="51"/>
      <c r="E11" s="1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7" ht="18" x14ac:dyDescent="0.35">
      <c r="A12" s="63" t="s">
        <v>9</v>
      </c>
      <c r="B12" s="32">
        <f>-B6*0.07</f>
        <v>-7000.0000000000009</v>
      </c>
      <c r="C12" s="60" t="s">
        <v>100</v>
      </c>
      <c r="D12" s="51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7" ht="18" x14ac:dyDescent="0.35">
      <c r="A13" s="65" t="s">
        <v>10</v>
      </c>
      <c r="B13" s="34">
        <f>-B6*0.02</f>
        <v>-2000</v>
      </c>
      <c r="C13" s="60" t="s">
        <v>99</v>
      </c>
      <c r="D13" s="51"/>
      <c r="E13" s="2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17" ht="18" x14ac:dyDescent="0.35">
      <c r="A14" s="65" t="s">
        <v>11</v>
      </c>
      <c r="B14" s="34">
        <f>-B6*0.05</f>
        <v>-5000</v>
      </c>
      <c r="C14" s="59" t="s">
        <v>101</v>
      </c>
      <c r="D14" s="51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ht="18" x14ac:dyDescent="0.35">
      <c r="A15" s="65" t="s">
        <v>1</v>
      </c>
      <c r="B15" s="32">
        <v>0</v>
      </c>
      <c r="C15" s="60"/>
      <c r="D15" s="51"/>
      <c r="F15" s="3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ht="18" x14ac:dyDescent="0.35">
      <c r="A16" s="65" t="s">
        <v>0</v>
      </c>
      <c r="B16" s="32">
        <f>B6*0.185</f>
        <v>18500</v>
      </c>
      <c r="C16" s="60" t="s">
        <v>104</v>
      </c>
      <c r="D16" s="51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7" ht="18" x14ac:dyDescent="0.35">
      <c r="A17" s="65" t="s">
        <v>12</v>
      </c>
      <c r="B17" s="32">
        <f>-B6*0.05</f>
        <v>-5000</v>
      </c>
      <c r="C17" s="60" t="s">
        <v>102</v>
      </c>
      <c r="D17" s="51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7" ht="18" x14ac:dyDescent="0.35">
      <c r="A18" s="65" t="s">
        <v>2</v>
      </c>
      <c r="B18" s="32">
        <f>B6*0.135</f>
        <v>13500</v>
      </c>
      <c r="C18" s="60" t="s">
        <v>103</v>
      </c>
      <c r="D18" s="51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spans="1:17" ht="18" x14ac:dyDescent="0.35">
      <c r="A19" s="65" t="s">
        <v>3</v>
      </c>
      <c r="B19" s="32">
        <f>-B18*0.3</f>
        <v>-4050</v>
      </c>
      <c r="C19" s="60" t="s">
        <v>105</v>
      </c>
      <c r="D19" s="51"/>
      <c r="E19" s="4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spans="1:17" ht="18.600000000000001" thickBot="1" x14ac:dyDescent="0.4">
      <c r="A20" s="65" t="s">
        <v>13</v>
      </c>
      <c r="B20" s="35">
        <f>B6*0.0945</f>
        <v>9450</v>
      </c>
      <c r="C20" s="60" t="s">
        <v>106</v>
      </c>
      <c r="D20" s="51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spans="1:17" x14ac:dyDescent="0.3">
      <c r="A21" s="51"/>
      <c r="B21" s="51"/>
      <c r="C21" s="51"/>
      <c r="D21" s="51"/>
      <c r="E21" s="4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1:17" x14ac:dyDescent="0.3">
      <c r="A22" s="51"/>
      <c r="B22" s="51"/>
      <c r="C22" s="51"/>
      <c r="D22" s="51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spans="1:17" x14ac:dyDescent="0.3">
      <c r="A23" s="51"/>
      <c r="B23" s="51"/>
      <c r="C23" s="51"/>
      <c r="D23" s="51"/>
      <c r="E23" s="5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spans="1:17" x14ac:dyDescent="0.3">
      <c r="A24" s="51"/>
      <c r="B24" s="51"/>
      <c r="C24" s="51"/>
      <c r="D24" s="51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1:17" x14ac:dyDescent="0.3">
      <c r="A25" s="51"/>
      <c r="B25" s="51"/>
      <c r="C25" s="51"/>
      <c r="D25" s="51"/>
      <c r="E25" s="3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spans="1:17" x14ac:dyDescent="0.3">
      <c r="A26" s="51"/>
      <c r="B26" s="51"/>
      <c r="C26" s="51"/>
      <c r="D26" s="51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spans="1:17" x14ac:dyDescent="0.3">
      <c r="A27" s="51"/>
      <c r="B27" s="51"/>
      <c r="C27" s="51"/>
      <c r="D27" s="51"/>
      <c r="E27" s="4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1:17" x14ac:dyDescent="0.3"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1:17" x14ac:dyDescent="0.3">
      <c r="E29" s="4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1:17" x14ac:dyDescent="0.3"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1:17" x14ac:dyDescent="0.3">
      <c r="E31" s="4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spans="1:17" x14ac:dyDescent="0.3"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5:17" x14ac:dyDescent="0.3">
      <c r="E33" s="3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</sheetData>
  <mergeCells count="1">
    <mergeCell ref="A5:B5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ignoredErrors>
    <ignoredError sqref="B19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8CA71-5BCB-420F-99FE-D294314E4BD6}">
  <dimension ref="A1:AD56"/>
  <sheetViews>
    <sheetView zoomScaleNormal="100" workbookViewId="0">
      <selection activeCell="B21" sqref="B21"/>
    </sheetView>
  </sheetViews>
  <sheetFormatPr defaultRowHeight="14.4" x14ac:dyDescent="0.3"/>
  <cols>
    <col min="2" max="2" width="78.33203125" bestFit="1" customWidth="1"/>
  </cols>
  <sheetData>
    <row r="1" spans="1:30" ht="15" thickBot="1" x14ac:dyDescent="0.35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8"/>
      <c r="Z1" s="8"/>
      <c r="AA1" s="8"/>
    </row>
    <row r="2" spans="1:30" ht="18.600000000000001" thickBot="1" x14ac:dyDescent="0.35">
      <c r="A2" s="51"/>
      <c r="B2" s="211" t="s">
        <v>108</v>
      </c>
      <c r="C2" s="212"/>
      <c r="D2" s="212"/>
      <c r="E2" s="212"/>
      <c r="F2" s="212"/>
      <c r="G2" s="212"/>
      <c r="H2" s="212"/>
      <c r="I2" s="212"/>
      <c r="J2" s="212"/>
      <c r="K2" s="212"/>
      <c r="L2" s="212"/>
      <c r="M2" s="212"/>
      <c r="N2" s="213"/>
      <c r="O2" s="51"/>
      <c r="P2" s="51"/>
      <c r="Q2" s="51"/>
      <c r="R2" s="51"/>
      <c r="S2" s="51"/>
      <c r="T2" s="51"/>
      <c r="U2" s="51"/>
      <c r="V2" s="51"/>
      <c r="W2" s="51"/>
      <c r="X2" s="51"/>
      <c r="Y2" s="8"/>
      <c r="Z2" s="8"/>
      <c r="AA2" s="8"/>
      <c r="AB2" s="8"/>
      <c r="AC2" s="8"/>
      <c r="AD2" s="8"/>
    </row>
    <row r="3" spans="1:30" x14ac:dyDescent="0.3">
      <c r="A3" s="51"/>
      <c r="B3" s="49"/>
      <c r="C3" s="214" t="s">
        <v>118</v>
      </c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6"/>
      <c r="O3" s="51"/>
      <c r="P3" s="51"/>
      <c r="Q3" s="51"/>
      <c r="R3" s="51"/>
      <c r="S3" s="51"/>
      <c r="T3" s="51"/>
      <c r="U3" s="51"/>
      <c r="V3" s="51"/>
      <c r="W3" s="51"/>
      <c r="X3" s="51"/>
      <c r="Y3" s="8"/>
      <c r="Z3" s="8"/>
      <c r="AA3" s="8"/>
      <c r="AB3" s="8"/>
      <c r="AC3" s="8"/>
      <c r="AD3" s="8"/>
    </row>
    <row r="4" spans="1:30" ht="15" thickBot="1" x14ac:dyDescent="0.35">
      <c r="A4" s="51"/>
      <c r="B4" s="50"/>
      <c r="C4" s="37">
        <v>1</v>
      </c>
      <c r="D4" s="37">
        <v>2</v>
      </c>
      <c r="E4" s="37">
        <v>3</v>
      </c>
      <c r="F4" s="37">
        <v>4</v>
      </c>
      <c r="G4" s="37">
        <v>5</v>
      </c>
      <c r="H4" s="37">
        <v>6</v>
      </c>
      <c r="I4" s="37">
        <v>7</v>
      </c>
      <c r="J4" s="37">
        <v>8</v>
      </c>
      <c r="K4" s="37">
        <v>9</v>
      </c>
      <c r="L4" s="37">
        <v>10</v>
      </c>
      <c r="M4" s="37">
        <v>11</v>
      </c>
      <c r="N4" s="38">
        <v>12</v>
      </c>
      <c r="O4" s="51"/>
      <c r="P4" s="51"/>
      <c r="Q4" s="51"/>
      <c r="R4" s="51"/>
      <c r="S4" s="51"/>
      <c r="T4" s="51"/>
      <c r="U4" s="51"/>
      <c r="V4" s="51"/>
      <c r="W4" s="51"/>
      <c r="X4" s="51"/>
      <c r="Y4" s="8"/>
      <c r="Z4" s="8"/>
      <c r="AA4" s="8"/>
      <c r="AB4" s="8"/>
      <c r="AC4" s="8"/>
      <c r="AD4" s="8"/>
    </row>
    <row r="5" spans="1:30" ht="18" x14ac:dyDescent="0.35">
      <c r="A5" s="51"/>
      <c r="B5" s="217" t="s">
        <v>119</v>
      </c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9"/>
      <c r="O5" s="51"/>
      <c r="P5" s="51"/>
      <c r="Q5" s="51"/>
      <c r="R5" s="51"/>
      <c r="S5" s="51"/>
      <c r="T5" s="51"/>
      <c r="U5" s="51"/>
      <c r="V5" s="51"/>
      <c r="W5" s="51"/>
      <c r="X5" s="51"/>
      <c r="Y5" s="8"/>
      <c r="Z5" s="8"/>
      <c r="AA5" s="8"/>
      <c r="AB5" s="8"/>
      <c r="AC5" s="8"/>
      <c r="AD5" s="8"/>
    </row>
    <row r="6" spans="1:30" x14ac:dyDescent="0.3">
      <c r="A6" s="51"/>
      <c r="B6" s="220" t="s">
        <v>135</v>
      </c>
      <c r="C6" s="221"/>
      <c r="D6" s="221"/>
      <c r="E6" s="221"/>
      <c r="F6" s="221"/>
      <c r="G6" s="221"/>
      <c r="H6" s="221"/>
      <c r="I6" s="221"/>
      <c r="J6" s="221"/>
      <c r="K6" s="221"/>
      <c r="L6" s="221"/>
      <c r="M6" s="221"/>
      <c r="N6" s="222"/>
      <c r="O6" s="51"/>
      <c r="P6" s="51"/>
      <c r="Q6" s="51"/>
      <c r="R6" s="51"/>
      <c r="S6" s="51"/>
      <c r="T6" s="51"/>
      <c r="U6" s="51"/>
      <c r="V6" s="51"/>
      <c r="W6" s="51"/>
      <c r="X6" s="51"/>
      <c r="Y6" s="8"/>
      <c r="Z6" s="8"/>
      <c r="AA6" s="8"/>
      <c r="AB6" s="8"/>
      <c r="AC6" s="8"/>
      <c r="AD6" s="8"/>
    </row>
    <row r="7" spans="1:30" ht="18" x14ac:dyDescent="0.35">
      <c r="A7" s="51"/>
      <c r="B7" s="148" t="s">
        <v>146</v>
      </c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8"/>
      <c r="O7" s="51"/>
      <c r="P7" s="51"/>
      <c r="Q7" s="51"/>
      <c r="R7" s="51"/>
      <c r="S7" s="51"/>
      <c r="T7" s="51"/>
      <c r="U7" s="51"/>
      <c r="V7" s="51"/>
      <c r="W7" s="51"/>
      <c r="X7" s="51"/>
      <c r="Y7" s="8"/>
      <c r="Z7" s="8"/>
      <c r="AA7" s="8"/>
      <c r="AB7" s="8"/>
      <c r="AC7" s="8"/>
      <c r="AD7" s="8"/>
    </row>
    <row r="8" spans="1:30" ht="18" x14ac:dyDescent="0.35">
      <c r="A8" s="51"/>
      <c r="B8" s="149" t="s">
        <v>122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4"/>
      <c r="O8" s="51"/>
      <c r="P8" s="51"/>
      <c r="Q8" s="51"/>
      <c r="R8" s="51"/>
      <c r="S8" s="51"/>
      <c r="T8" s="51"/>
      <c r="U8" s="51"/>
      <c r="V8" s="51"/>
      <c r="W8" s="51"/>
      <c r="X8" s="51"/>
      <c r="Y8" s="8"/>
      <c r="Z8" s="8"/>
      <c r="AA8" s="8"/>
      <c r="AB8" s="8"/>
      <c r="AC8" s="8"/>
      <c r="AD8" s="8"/>
    </row>
    <row r="9" spans="1:30" ht="18" x14ac:dyDescent="0.35">
      <c r="A9" s="51"/>
      <c r="B9" s="148" t="s">
        <v>123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4"/>
      <c r="O9" s="51"/>
      <c r="P9" s="51"/>
      <c r="Q9" s="51"/>
      <c r="R9" s="51"/>
      <c r="S9" s="51"/>
      <c r="T9" s="51"/>
      <c r="U9" s="51"/>
      <c r="V9" s="51"/>
      <c r="W9" s="51"/>
      <c r="X9" s="51"/>
      <c r="Y9" s="8"/>
      <c r="Z9" s="8"/>
      <c r="AA9" s="8"/>
      <c r="AB9" s="8"/>
      <c r="AC9" s="8"/>
      <c r="AD9" s="8"/>
    </row>
    <row r="10" spans="1:30" ht="18" x14ac:dyDescent="0.35">
      <c r="A10" s="51"/>
      <c r="B10" s="148" t="s">
        <v>124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4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8"/>
      <c r="Z10" s="8"/>
      <c r="AA10" s="8"/>
      <c r="AB10" s="8"/>
      <c r="AC10" s="8"/>
      <c r="AD10" s="8"/>
    </row>
    <row r="11" spans="1:30" ht="18" x14ac:dyDescent="0.35">
      <c r="A11" s="51"/>
      <c r="B11" s="145" t="s">
        <v>121</v>
      </c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4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8"/>
      <c r="Z11" s="8"/>
      <c r="AA11" s="8"/>
      <c r="AB11" s="8"/>
      <c r="AC11" s="8"/>
      <c r="AD11" s="8"/>
    </row>
    <row r="12" spans="1:30" ht="18" x14ac:dyDescent="0.35">
      <c r="A12" s="51"/>
      <c r="B12" s="145" t="s">
        <v>131</v>
      </c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8"/>
      <c r="Z12" s="8"/>
      <c r="AA12" s="8"/>
      <c r="AB12" s="8"/>
      <c r="AC12" s="8"/>
      <c r="AD12" s="8"/>
    </row>
    <row r="13" spans="1:30" ht="18" x14ac:dyDescent="0.35">
      <c r="A13" s="51"/>
      <c r="B13" s="145" t="s">
        <v>125</v>
      </c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4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8"/>
      <c r="Z13" s="8"/>
      <c r="AA13" s="8"/>
      <c r="AB13" s="8"/>
      <c r="AC13" s="8"/>
      <c r="AD13" s="8"/>
    </row>
    <row r="14" spans="1:30" ht="18.600000000000001" thickBot="1" x14ac:dyDescent="0.4">
      <c r="A14" s="51"/>
      <c r="B14" s="146" t="s">
        <v>109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2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8"/>
      <c r="Z14" s="8"/>
      <c r="AA14" s="8"/>
      <c r="AB14" s="8"/>
      <c r="AC14" s="8"/>
      <c r="AD14" s="8"/>
    </row>
    <row r="15" spans="1:30" ht="15" thickBot="1" x14ac:dyDescent="0.35">
      <c r="A15" s="51"/>
      <c r="B15" s="52" t="s">
        <v>142</v>
      </c>
      <c r="C15" s="53">
        <f>SUM(C7:C14)</f>
        <v>0</v>
      </c>
      <c r="D15" s="53">
        <f t="shared" ref="D15:N15" si="0">SUM(D7:D14)</f>
        <v>0</v>
      </c>
      <c r="E15" s="53">
        <f t="shared" si="0"/>
        <v>0</v>
      </c>
      <c r="F15" s="53">
        <f t="shared" si="0"/>
        <v>0</v>
      </c>
      <c r="G15" s="53">
        <f t="shared" si="0"/>
        <v>0</v>
      </c>
      <c r="H15" s="53">
        <f t="shared" si="0"/>
        <v>0</v>
      </c>
      <c r="I15" s="53">
        <f t="shared" si="0"/>
        <v>0</v>
      </c>
      <c r="J15" s="53">
        <f t="shared" si="0"/>
        <v>0</v>
      </c>
      <c r="K15" s="53">
        <f t="shared" si="0"/>
        <v>0</v>
      </c>
      <c r="L15" s="53">
        <f t="shared" si="0"/>
        <v>0</v>
      </c>
      <c r="M15" s="53">
        <f t="shared" si="0"/>
        <v>0</v>
      </c>
      <c r="N15" s="53">
        <f t="shared" si="0"/>
        <v>0</v>
      </c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8"/>
      <c r="Z15" s="8"/>
      <c r="AA15" s="8"/>
      <c r="AB15" s="8"/>
      <c r="AC15" s="8"/>
      <c r="AD15" s="8"/>
    </row>
    <row r="16" spans="1:30" ht="18" x14ac:dyDescent="0.35">
      <c r="A16" s="51"/>
      <c r="B16" s="217" t="s">
        <v>120</v>
      </c>
      <c r="C16" s="218"/>
      <c r="D16" s="218"/>
      <c r="E16" s="218"/>
      <c r="F16" s="218"/>
      <c r="G16" s="218"/>
      <c r="H16" s="218"/>
      <c r="I16" s="218"/>
      <c r="J16" s="218"/>
      <c r="K16" s="218"/>
      <c r="L16" s="218"/>
      <c r="M16" s="218"/>
      <c r="N16" s="219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8"/>
      <c r="Z16" s="8"/>
      <c r="AA16" s="8"/>
      <c r="AB16" s="8"/>
      <c r="AC16" s="8"/>
      <c r="AD16" s="8"/>
    </row>
    <row r="17" spans="1:30" x14ac:dyDescent="0.3">
      <c r="A17" s="51"/>
      <c r="B17" s="208" t="s">
        <v>134</v>
      </c>
      <c r="C17" s="209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10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8"/>
      <c r="Z17" s="8"/>
      <c r="AA17" s="8"/>
      <c r="AB17" s="8"/>
      <c r="AC17" s="8"/>
      <c r="AD17" s="8"/>
    </row>
    <row r="18" spans="1:30" ht="18" x14ac:dyDescent="0.35">
      <c r="A18" s="51"/>
      <c r="B18" s="149" t="s">
        <v>137</v>
      </c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40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8"/>
      <c r="Z18" s="8"/>
      <c r="AA18" s="8"/>
      <c r="AB18" s="8"/>
      <c r="AC18" s="8"/>
      <c r="AD18" s="8"/>
    </row>
    <row r="19" spans="1:30" ht="18" x14ac:dyDescent="0.35">
      <c r="A19" s="51"/>
      <c r="B19" s="148" t="s">
        <v>136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40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8"/>
      <c r="Z19" s="8"/>
      <c r="AA19" s="8"/>
      <c r="AB19" s="8"/>
      <c r="AC19" s="8"/>
      <c r="AD19" s="8"/>
    </row>
    <row r="20" spans="1:30" ht="18" x14ac:dyDescent="0.35">
      <c r="A20" s="51"/>
      <c r="B20" s="148" t="s">
        <v>126</v>
      </c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40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8"/>
      <c r="Z20" s="8"/>
      <c r="AA20" s="8"/>
      <c r="AB20" s="8"/>
      <c r="AC20" s="8"/>
      <c r="AD20" s="8"/>
    </row>
    <row r="21" spans="1:30" ht="18" x14ac:dyDescent="0.35">
      <c r="A21" s="51"/>
      <c r="B21" s="148" t="s">
        <v>127</v>
      </c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40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8"/>
      <c r="Z21" s="8"/>
      <c r="AA21" s="8"/>
      <c r="AB21" s="8"/>
      <c r="AC21" s="8"/>
      <c r="AD21" s="8"/>
    </row>
    <row r="22" spans="1:30" ht="18" x14ac:dyDescent="0.35">
      <c r="A22" s="51"/>
      <c r="B22" s="148" t="s">
        <v>68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40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8"/>
      <c r="Z22" s="8"/>
      <c r="AA22" s="8"/>
      <c r="AB22" s="8"/>
      <c r="AC22" s="8"/>
      <c r="AD22" s="8"/>
    </row>
    <row r="23" spans="1:30" ht="18" x14ac:dyDescent="0.35">
      <c r="A23" s="51"/>
      <c r="B23" s="148" t="s">
        <v>72</v>
      </c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40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8"/>
      <c r="Z23" s="8"/>
      <c r="AA23" s="8"/>
      <c r="AB23" s="8"/>
      <c r="AC23" s="8"/>
      <c r="AD23" s="8"/>
    </row>
    <row r="24" spans="1:30" ht="18" x14ac:dyDescent="0.35">
      <c r="A24" s="51"/>
      <c r="B24" s="148" t="s">
        <v>112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40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8"/>
      <c r="Z24" s="8"/>
      <c r="AA24" s="8"/>
      <c r="AB24" s="8"/>
      <c r="AC24" s="8"/>
      <c r="AD24" s="8"/>
    </row>
    <row r="25" spans="1:30" ht="18" x14ac:dyDescent="0.35">
      <c r="A25" s="51"/>
      <c r="B25" s="148" t="s">
        <v>113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40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8"/>
      <c r="Z25" s="8"/>
      <c r="AA25" s="8"/>
      <c r="AB25" s="8"/>
      <c r="AC25" s="8"/>
      <c r="AD25" s="8"/>
    </row>
    <row r="26" spans="1:30" ht="18" x14ac:dyDescent="0.35">
      <c r="A26" s="51"/>
      <c r="B26" s="148" t="s">
        <v>138</v>
      </c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40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8"/>
      <c r="Z26" s="8"/>
      <c r="AA26" s="8"/>
      <c r="AB26" s="8"/>
      <c r="AC26" s="8"/>
      <c r="AD26" s="8"/>
    </row>
    <row r="27" spans="1:30" ht="18" x14ac:dyDescent="0.35">
      <c r="A27" s="51"/>
      <c r="B27" s="148" t="s">
        <v>140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40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8"/>
      <c r="Z27" s="8"/>
      <c r="AA27" s="8"/>
      <c r="AB27" s="8"/>
      <c r="AC27" s="8"/>
      <c r="AD27" s="8"/>
    </row>
    <row r="28" spans="1:30" ht="18" x14ac:dyDescent="0.35">
      <c r="A28" s="51"/>
      <c r="B28" s="148" t="s">
        <v>110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40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8"/>
      <c r="Z28" s="8"/>
      <c r="AA28" s="8"/>
      <c r="AB28" s="8"/>
      <c r="AC28" s="8"/>
      <c r="AD28" s="8"/>
    </row>
    <row r="29" spans="1:30" ht="18" x14ac:dyDescent="0.35">
      <c r="A29" s="51"/>
      <c r="B29" s="148" t="s">
        <v>147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40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8"/>
      <c r="Z29" s="8"/>
      <c r="AA29" s="8"/>
      <c r="AB29" s="8"/>
      <c r="AC29" s="8"/>
      <c r="AD29" s="8"/>
    </row>
    <row r="30" spans="1:30" ht="18" x14ac:dyDescent="0.35">
      <c r="A30" s="51"/>
      <c r="B30" s="148" t="s">
        <v>148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40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8"/>
      <c r="Z30" s="8"/>
      <c r="AA30" s="8"/>
      <c r="AB30" s="8"/>
      <c r="AC30" s="8"/>
      <c r="AD30" s="8"/>
    </row>
    <row r="31" spans="1:30" ht="18" x14ac:dyDescent="0.35">
      <c r="A31" s="51"/>
      <c r="B31" s="148" t="s">
        <v>139</v>
      </c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40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8"/>
      <c r="Z31" s="8"/>
      <c r="AA31" s="8"/>
      <c r="AB31" s="8"/>
      <c r="AC31" s="8"/>
      <c r="AD31" s="8"/>
    </row>
    <row r="32" spans="1:30" ht="18" x14ac:dyDescent="0.35">
      <c r="A32" s="51"/>
      <c r="B32" s="148" t="s">
        <v>128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40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8"/>
      <c r="Z32" s="8"/>
      <c r="AA32" s="8"/>
      <c r="AB32" s="8"/>
      <c r="AC32" s="8"/>
      <c r="AD32" s="8"/>
    </row>
    <row r="33" spans="1:30" ht="18" x14ac:dyDescent="0.35">
      <c r="A33" s="51"/>
      <c r="B33" s="148" t="s">
        <v>129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40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8"/>
      <c r="Z33" s="8"/>
      <c r="AA33" s="8"/>
      <c r="AB33" s="8"/>
      <c r="AC33" s="8"/>
      <c r="AD33" s="8"/>
    </row>
    <row r="34" spans="1:30" ht="18" x14ac:dyDescent="0.35">
      <c r="A34" s="51"/>
      <c r="B34" s="147" t="s">
        <v>133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40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8"/>
      <c r="Z34" s="8"/>
      <c r="AA34" s="8"/>
      <c r="AB34" s="8"/>
      <c r="AC34" s="8"/>
      <c r="AD34" s="8"/>
    </row>
    <row r="35" spans="1:30" ht="18" x14ac:dyDescent="0.35">
      <c r="A35" s="51"/>
      <c r="B35" s="147" t="s">
        <v>130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40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8"/>
      <c r="Z35" s="8"/>
      <c r="AA35" s="8"/>
      <c r="AB35" s="8"/>
      <c r="AC35" s="8"/>
      <c r="AD35" s="8"/>
    </row>
    <row r="36" spans="1:30" ht="18" x14ac:dyDescent="0.35">
      <c r="A36" s="51"/>
      <c r="B36" s="147" t="s">
        <v>132</v>
      </c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40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8"/>
      <c r="Z36" s="8"/>
      <c r="AA36" s="8"/>
      <c r="AB36" s="8"/>
      <c r="AC36" s="8"/>
      <c r="AD36" s="8"/>
    </row>
    <row r="37" spans="1:30" ht="18" x14ac:dyDescent="0.35">
      <c r="A37" s="51"/>
      <c r="B37" s="147" t="s">
        <v>111</v>
      </c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40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8"/>
      <c r="Z37" s="8"/>
      <c r="AA37" s="8"/>
      <c r="AB37" s="8"/>
      <c r="AC37" s="8"/>
      <c r="AD37" s="8"/>
    </row>
    <row r="38" spans="1:30" ht="18" x14ac:dyDescent="0.35">
      <c r="A38" s="51"/>
      <c r="B38" s="147" t="s">
        <v>141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40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8"/>
      <c r="Z38" s="8"/>
      <c r="AA38" s="8"/>
      <c r="AB38" s="8"/>
      <c r="AC38" s="8"/>
      <c r="AD38" s="8"/>
    </row>
    <row r="39" spans="1:30" ht="18.600000000000001" thickBot="1" x14ac:dyDescent="0.4">
      <c r="A39" s="51"/>
      <c r="B39" s="147" t="s">
        <v>114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40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8"/>
      <c r="Z39" s="8"/>
      <c r="AA39" s="8"/>
      <c r="AB39" s="8"/>
      <c r="AC39" s="8"/>
      <c r="AD39" s="8"/>
    </row>
    <row r="40" spans="1:30" ht="15" thickBot="1" x14ac:dyDescent="0.35">
      <c r="A40" s="51"/>
      <c r="B40" s="52" t="s">
        <v>143</v>
      </c>
      <c r="C40" s="53">
        <f>SUM(C18:C39)</f>
        <v>0</v>
      </c>
      <c r="D40" s="53">
        <f t="shared" ref="D40" si="1">SUM(D18:D39)</f>
        <v>0</v>
      </c>
      <c r="E40" s="53">
        <f t="shared" ref="E40" si="2">SUM(E18:E39)</f>
        <v>0</v>
      </c>
      <c r="F40" s="53">
        <f t="shared" ref="F40" si="3">SUM(F18:F39)</f>
        <v>0</v>
      </c>
      <c r="G40" s="53">
        <f t="shared" ref="G40" si="4">SUM(G18:G39)</f>
        <v>0</v>
      </c>
      <c r="H40" s="53">
        <f t="shared" ref="H40" si="5">SUM(H18:H39)</f>
        <v>0</v>
      </c>
      <c r="I40" s="53">
        <f t="shared" ref="I40" si="6">SUM(I18:I39)</f>
        <v>0</v>
      </c>
      <c r="J40" s="53">
        <f t="shared" ref="J40" si="7">SUM(J18:J39)</f>
        <v>0</v>
      </c>
      <c r="K40" s="53">
        <f t="shared" ref="K40" si="8">SUM(K18:K39)</f>
        <v>0</v>
      </c>
      <c r="L40" s="53">
        <f t="shared" ref="L40" si="9">SUM(L18:L39)</f>
        <v>0</v>
      </c>
      <c r="M40" s="53">
        <f t="shared" ref="M40" si="10">SUM(M18:M39)</f>
        <v>0</v>
      </c>
      <c r="N40" s="53">
        <f t="shared" ref="N40" si="11">SUM(N18:N39)</f>
        <v>0</v>
      </c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8"/>
      <c r="Z40" s="8"/>
      <c r="AA40" s="8"/>
      <c r="AB40" s="8"/>
      <c r="AC40" s="8"/>
      <c r="AD40" s="8"/>
    </row>
    <row r="41" spans="1:30" ht="15" thickBot="1" x14ac:dyDescent="0.35">
      <c r="A41" s="51"/>
      <c r="B41" s="57" t="s">
        <v>144</v>
      </c>
      <c r="C41" s="58">
        <f>C15-C40</f>
        <v>0</v>
      </c>
      <c r="D41" s="58">
        <f>D15-D40</f>
        <v>0</v>
      </c>
      <c r="E41" s="58">
        <f t="shared" ref="E41:N41" si="12">E15-E40</f>
        <v>0</v>
      </c>
      <c r="F41" s="58">
        <f t="shared" si="12"/>
        <v>0</v>
      </c>
      <c r="G41" s="58">
        <f t="shared" si="12"/>
        <v>0</v>
      </c>
      <c r="H41" s="58">
        <f t="shared" si="12"/>
        <v>0</v>
      </c>
      <c r="I41" s="58">
        <f t="shared" si="12"/>
        <v>0</v>
      </c>
      <c r="J41" s="58">
        <f t="shared" si="12"/>
        <v>0</v>
      </c>
      <c r="K41" s="58">
        <f t="shared" si="12"/>
        <v>0</v>
      </c>
      <c r="L41" s="58">
        <f t="shared" si="12"/>
        <v>0</v>
      </c>
      <c r="M41" s="58">
        <f t="shared" si="12"/>
        <v>0</v>
      </c>
      <c r="N41" s="58">
        <f t="shared" si="12"/>
        <v>0</v>
      </c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8"/>
      <c r="Z41" s="8"/>
      <c r="AA41" s="8"/>
      <c r="AB41" s="8"/>
      <c r="AC41" s="8"/>
      <c r="AD41" s="8"/>
    </row>
    <row r="42" spans="1:30" ht="15" thickBot="1" x14ac:dyDescent="0.35">
      <c r="A42" s="51"/>
      <c r="B42" s="54" t="s">
        <v>115</v>
      </c>
      <c r="C42" s="45">
        <v>0</v>
      </c>
      <c r="D42" s="45">
        <f>C45</f>
        <v>0</v>
      </c>
      <c r="E42" s="45">
        <f t="shared" ref="E42:N42" si="13">D45</f>
        <v>1</v>
      </c>
      <c r="F42" s="45">
        <f t="shared" si="13"/>
        <v>5</v>
      </c>
      <c r="G42" s="45">
        <f t="shared" si="13"/>
        <v>5</v>
      </c>
      <c r="H42" s="45">
        <f t="shared" si="13"/>
        <v>5</v>
      </c>
      <c r="I42" s="45">
        <f t="shared" si="13"/>
        <v>5</v>
      </c>
      <c r="J42" s="45">
        <f t="shared" si="13"/>
        <v>5</v>
      </c>
      <c r="K42" s="45">
        <f t="shared" si="13"/>
        <v>5</v>
      </c>
      <c r="L42" s="45">
        <f t="shared" si="13"/>
        <v>5</v>
      </c>
      <c r="M42" s="45">
        <f t="shared" si="13"/>
        <v>5</v>
      </c>
      <c r="N42" s="45">
        <f t="shared" si="13"/>
        <v>5</v>
      </c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8"/>
      <c r="Z42" s="8"/>
      <c r="AA42" s="8"/>
      <c r="AB42" s="8"/>
      <c r="AC42" s="8"/>
      <c r="AD42" s="8"/>
    </row>
    <row r="43" spans="1:30" ht="15" thickBot="1" x14ac:dyDescent="0.35">
      <c r="A43" s="51"/>
      <c r="B43" s="54" t="s">
        <v>116</v>
      </c>
      <c r="C43" s="53">
        <f>C41+C42</f>
        <v>0</v>
      </c>
      <c r="D43" s="53">
        <f t="shared" ref="D43:N43" si="14">D41+D42</f>
        <v>0</v>
      </c>
      <c r="E43" s="53">
        <f t="shared" si="14"/>
        <v>1</v>
      </c>
      <c r="F43" s="53">
        <f t="shared" si="14"/>
        <v>5</v>
      </c>
      <c r="G43" s="53">
        <f t="shared" si="14"/>
        <v>5</v>
      </c>
      <c r="H43" s="53">
        <f t="shared" si="14"/>
        <v>5</v>
      </c>
      <c r="I43" s="53">
        <f t="shared" si="14"/>
        <v>5</v>
      </c>
      <c r="J43" s="53">
        <f t="shared" si="14"/>
        <v>5</v>
      </c>
      <c r="K43" s="53">
        <f t="shared" si="14"/>
        <v>5</v>
      </c>
      <c r="L43" s="53">
        <f t="shared" si="14"/>
        <v>5</v>
      </c>
      <c r="M43" s="53">
        <f t="shared" si="14"/>
        <v>5</v>
      </c>
      <c r="N43" s="53">
        <f t="shared" si="14"/>
        <v>5</v>
      </c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8"/>
      <c r="Z43" s="8"/>
      <c r="AA43" s="8"/>
      <c r="AB43" s="8"/>
      <c r="AC43" s="8"/>
      <c r="AD43" s="8"/>
    </row>
    <row r="44" spans="1:30" ht="15" thickBot="1" x14ac:dyDescent="0.35">
      <c r="A44" s="51"/>
      <c r="B44" s="54" t="s">
        <v>145</v>
      </c>
      <c r="C44" s="45">
        <v>0</v>
      </c>
      <c r="D44" s="45">
        <v>1</v>
      </c>
      <c r="E44" s="45">
        <v>4</v>
      </c>
      <c r="F44" s="45"/>
      <c r="G44" s="45"/>
      <c r="H44" s="45"/>
      <c r="I44" s="45"/>
      <c r="J44" s="45"/>
      <c r="K44" s="45"/>
      <c r="L44" s="45"/>
      <c r="M44" s="45"/>
      <c r="N44" s="46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8"/>
      <c r="Z44" s="8"/>
      <c r="AA44" s="8"/>
      <c r="AB44" s="8"/>
      <c r="AC44" s="8"/>
      <c r="AD44" s="8"/>
    </row>
    <row r="45" spans="1:30" ht="15" thickBot="1" x14ac:dyDescent="0.35">
      <c r="A45" s="51"/>
      <c r="B45" s="56" t="s">
        <v>117</v>
      </c>
      <c r="C45" s="55">
        <f>C43+C44</f>
        <v>0</v>
      </c>
      <c r="D45" s="55">
        <f t="shared" ref="D45:N45" si="15">D43+D44</f>
        <v>1</v>
      </c>
      <c r="E45" s="55">
        <f t="shared" si="15"/>
        <v>5</v>
      </c>
      <c r="F45" s="55">
        <f t="shared" si="15"/>
        <v>5</v>
      </c>
      <c r="G45" s="55">
        <f t="shared" si="15"/>
        <v>5</v>
      </c>
      <c r="H45" s="55">
        <f t="shared" si="15"/>
        <v>5</v>
      </c>
      <c r="I45" s="55">
        <f t="shared" si="15"/>
        <v>5</v>
      </c>
      <c r="J45" s="55">
        <f t="shared" si="15"/>
        <v>5</v>
      </c>
      <c r="K45" s="55">
        <f t="shared" si="15"/>
        <v>5</v>
      </c>
      <c r="L45" s="55">
        <f t="shared" si="15"/>
        <v>5</v>
      </c>
      <c r="M45" s="55">
        <f t="shared" si="15"/>
        <v>5</v>
      </c>
      <c r="N45" s="55">
        <f t="shared" si="15"/>
        <v>5</v>
      </c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8"/>
      <c r="Z45" s="8"/>
      <c r="AA45" s="8"/>
      <c r="AB45" s="8"/>
      <c r="AC45" s="8"/>
      <c r="AD45" s="8"/>
    </row>
    <row r="46" spans="1:30" x14ac:dyDescent="0.3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8"/>
      <c r="Z46" s="8"/>
      <c r="AA46" s="8"/>
      <c r="AB46" s="8"/>
      <c r="AC46" s="8"/>
      <c r="AD46" s="8"/>
    </row>
    <row r="47" spans="1:30" x14ac:dyDescent="0.3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8"/>
      <c r="Z47" s="8"/>
      <c r="AA47" s="8"/>
      <c r="AB47" s="8"/>
      <c r="AC47" s="8"/>
      <c r="AD47" s="8"/>
    </row>
    <row r="48" spans="1:30" x14ac:dyDescent="0.3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8"/>
      <c r="Z48" s="8"/>
      <c r="AA48" s="8"/>
      <c r="AB48" s="8"/>
      <c r="AC48" s="8"/>
      <c r="AD48" s="8"/>
    </row>
    <row r="49" spans="1:30" x14ac:dyDescent="0.3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8"/>
      <c r="Z49" s="8"/>
      <c r="AA49" s="8"/>
      <c r="AB49" s="8"/>
      <c r="AC49" s="8"/>
      <c r="AD49" s="8"/>
    </row>
    <row r="50" spans="1:30" x14ac:dyDescent="0.3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8"/>
      <c r="Z50" s="8"/>
      <c r="AA50" s="8"/>
      <c r="AB50" s="8"/>
      <c r="AC50" s="8"/>
      <c r="AD50" s="8"/>
    </row>
    <row r="51" spans="1:30" x14ac:dyDescent="0.3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8"/>
      <c r="Z51" s="8"/>
      <c r="AA51" s="8"/>
      <c r="AB51" s="8"/>
      <c r="AC51" s="8"/>
      <c r="AD51" s="8"/>
    </row>
    <row r="52" spans="1:30" x14ac:dyDescent="0.3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</row>
    <row r="53" spans="1:30" x14ac:dyDescent="0.3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</row>
    <row r="54" spans="1:30" x14ac:dyDescent="0.3">
      <c r="A54" s="8"/>
    </row>
    <row r="55" spans="1:30" x14ac:dyDescent="0.3">
      <c r="A55" s="8"/>
    </row>
    <row r="56" spans="1:30" x14ac:dyDescent="0.3">
      <c r="A56" s="8"/>
    </row>
  </sheetData>
  <mergeCells count="6">
    <mergeCell ref="B17:N17"/>
    <mergeCell ref="B2:N2"/>
    <mergeCell ref="C3:N3"/>
    <mergeCell ref="B5:N5"/>
    <mergeCell ref="B16:N16"/>
    <mergeCell ref="B6:N6"/>
  </mergeCells>
  <conditionalFormatting sqref="C41:N41">
    <cfRule type="cellIs" dxfId="1" priority="2" operator="lessThan">
      <formula>0</formula>
    </cfRule>
  </conditionalFormatting>
  <conditionalFormatting sqref="C43:N43 C45:N45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  <ignoredErrors>
    <ignoredError sqref="D42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FFC22-34AE-446E-ACAB-ED5DEB85BEC6}">
  <dimension ref="B1:L45"/>
  <sheetViews>
    <sheetView topLeftCell="A5" zoomScale="70" zoomScaleNormal="70" workbookViewId="0">
      <selection activeCell="E18" sqref="E18"/>
    </sheetView>
  </sheetViews>
  <sheetFormatPr defaultColWidth="9.109375" defaultRowHeight="17.399999999999999" x14ac:dyDescent="0.3"/>
  <cols>
    <col min="1" max="1" width="9.109375" style="66"/>
    <col min="2" max="2" width="17.6640625" style="66" bestFit="1" customWidth="1"/>
    <col min="3" max="3" width="18.44140625" style="66" bestFit="1" customWidth="1"/>
    <col min="4" max="4" width="9.109375" style="66"/>
    <col min="5" max="5" width="162.109375" style="66" bestFit="1" customWidth="1"/>
    <col min="6" max="6" width="21.6640625" style="66" bestFit="1" customWidth="1"/>
    <col min="7" max="7" width="19.88671875" style="66" bestFit="1" customWidth="1"/>
    <col min="8" max="8" width="18.33203125" style="66" bestFit="1" customWidth="1"/>
    <col min="9" max="9" width="21.6640625" style="66" bestFit="1" customWidth="1"/>
    <col min="10" max="10" width="15.88671875" style="66" bestFit="1" customWidth="1"/>
    <col min="11" max="11" width="14.44140625" style="66" bestFit="1" customWidth="1"/>
    <col min="12" max="12" width="20" style="66" bestFit="1" customWidth="1"/>
    <col min="13" max="16384" width="9.109375" style="66"/>
  </cols>
  <sheetData>
    <row r="1" spans="2:12" x14ac:dyDescent="0.3"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</row>
    <row r="2" spans="2:12" x14ac:dyDescent="0.3"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</row>
    <row r="3" spans="2:12" x14ac:dyDescent="0.3"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</row>
    <row r="4" spans="2:12" x14ac:dyDescent="0.3"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</row>
    <row r="5" spans="2:12" x14ac:dyDescent="0.3"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</row>
    <row r="6" spans="2:12" x14ac:dyDescent="0.3">
      <c r="B6" s="99"/>
      <c r="C6" s="99"/>
      <c r="D6" s="99"/>
      <c r="E6" s="100"/>
      <c r="F6" s="100"/>
      <c r="G6" s="223" t="s">
        <v>89</v>
      </c>
      <c r="H6" s="223"/>
      <c r="I6" s="223"/>
      <c r="J6" s="223"/>
      <c r="K6" s="223"/>
      <c r="L6" s="99"/>
    </row>
    <row r="7" spans="2:12" x14ac:dyDescent="0.3">
      <c r="B7" s="99"/>
      <c r="C7" s="99"/>
      <c r="D7" s="99"/>
      <c r="E7" s="99"/>
      <c r="F7" s="99"/>
      <c r="G7" s="144" t="s">
        <v>59</v>
      </c>
      <c r="H7" s="144" t="s">
        <v>60</v>
      </c>
      <c r="I7" s="144" t="s">
        <v>61</v>
      </c>
      <c r="J7" s="144" t="s">
        <v>62</v>
      </c>
      <c r="K7" s="144" t="s">
        <v>63</v>
      </c>
      <c r="L7" s="101"/>
    </row>
    <row r="8" spans="2:12" x14ac:dyDescent="0.3">
      <c r="B8" s="99"/>
      <c r="C8" s="99"/>
      <c r="D8" s="99"/>
      <c r="E8" s="114" t="s">
        <v>58</v>
      </c>
      <c r="F8" s="114"/>
      <c r="G8" s="115">
        <v>250</v>
      </c>
      <c r="H8" s="115">
        <v>125</v>
      </c>
      <c r="I8" s="115">
        <v>100</v>
      </c>
      <c r="J8" s="115">
        <v>75</v>
      </c>
      <c r="K8" s="115">
        <v>40</v>
      </c>
      <c r="L8" s="102"/>
    </row>
    <row r="9" spans="2:12" x14ac:dyDescent="0.3">
      <c r="B9" s="99"/>
      <c r="C9" s="99"/>
      <c r="D9" s="99"/>
      <c r="E9" s="114" t="s">
        <v>84</v>
      </c>
      <c r="F9" s="114"/>
      <c r="G9" s="116">
        <f>SUM(F10:F12)</f>
        <v>70</v>
      </c>
      <c r="H9" s="116">
        <f>SUM(F10:F12)</f>
        <v>70</v>
      </c>
      <c r="I9" s="116">
        <f>SUM(F10:F12)</f>
        <v>70</v>
      </c>
      <c r="J9" s="116">
        <f>SUM(F10:F12)</f>
        <v>70</v>
      </c>
      <c r="K9" s="116">
        <f>SUM(F10:F12)</f>
        <v>70</v>
      </c>
      <c r="L9" s="102"/>
    </row>
    <row r="10" spans="2:12" x14ac:dyDescent="0.3">
      <c r="B10" s="99"/>
      <c r="C10" s="99"/>
      <c r="D10" s="99"/>
      <c r="E10" s="114" t="s">
        <v>85</v>
      </c>
      <c r="F10" s="117">
        <v>5</v>
      </c>
      <c r="G10" s="114"/>
      <c r="H10" s="114"/>
      <c r="I10" s="114"/>
      <c r="J10" s="114"/>
      <c r="K10" s="114"/>
      <c r="L10" s="99"/>
    </row>
    <row r="11" spans="2:12" x14ac:dyDescent="0.3">
      <c r="B11" s="99"/>
      <c r="C11" s="99"/>
      <c r="D11" s="99"/>
      <c r="E11" s="114" t="s">
        <v>149</v>
      </c>
      <c r="F11" s="117">
        <v>60</v>
      </c>
      <c r="G11" s="114"/>
      <c r="H11" s="114"/>
      <c r="I11" s="114"/>
      <c r="J11" s="114"/>
      <c r="K11" s="114"/>
      <c r="L11" s="99"/>
    </row>
    <row r="12" spans="2:12" x14ac:dyDescent="0.3">
      <c r="B12" s="99"/>
      <c r="C12" s="99"/>
      <c r="D12" s="99"/>
      <c r="E12" s="114" t="s">
        <v>150</v>
      </c>
      <c r="F12" s="117">
        <v>5</v>
      </c>
      <c r="G12" s="114"/>
      <c r="H12" s="114"/>
      <c r="I12" s="114"/>
      <c r="J12" s="114"/>
      <c r="K12" s="114"/>
      <c r="L12" s="99"/>
    </row>
    <row r="13" spans="2:12" ht="21.75" customHeight="1" x14ac:dyDescent="0.3">
      <c r="B13" s="99"/>
      <c r="C13" s="99"/>
      <c r="D13" s="99"/>
      <c r="E13" s="118" t="s">
        <v>64</v>
      </c>
      <c r="F13" s="118"/>
      <c r="G13" s="119">
        <f>G8-G9</f>
        <v>180</v>
      </c>
      <c r="H13" s="119">
        <f t="shared" ref="H13:K13" si="0">H8-H9</f>
        <v>55</v>
      </c>
      <c r="I13" s="119">
        <f t="shared" si="0"/>
        <v>30</v>
      </c>
      <c r="J13" s="119">
        <f t="shared" si="0"/>
        <v>5</v>
      </c>
      <c r="K13" s="120">
        <f t="shared" si="0"/>
        <v>-30</v>
      </c>
      <c r="L13" s="103">
        <f>SUM(G13:J13)</f>
        <v>270</v>
      </c>
    </row>
    <row r="14" spans="2:12" x14ac:dyDescent="0.3">
      <c r="B14" s="99"/>
      <c r="C14" s="99"/>
      <c r="D14" s="99"/>
      <c r="E14" s="121" t="s">
        <v>91</v>
      </c>
      <c r="F14" s="114"/>
      <c r="G14" s="122">
        <f>G13/L13</f>
        <v>0.66666666666666663</v>
      </c>
      <c r="H14" s="122">
        <f>H13/L13</f>
        <v>0.20370370370370369</v>
      </c>
      <c r="I14" s="122">
        <f>I13/L13</f>
        <v>0.1111111111111111</v>
      </c>
      <c r="J14" s="122">
        <f>J13/L13</f>
        <v>1.8518518518518517E-2</v>
      </c>
      <c r="K14" s="123"/>
      <c r="L14" s="99"/>
    </row>
    <row r="15" spans="2:12" x14ac:dyDescent="0.3">
      <c r="B15" s="99"/>
      <c r="C15" s="99"/>
      <c r="D15" s="99"/>
      <c r="E15" s="140" t="s">
        <v>88</v>
      </c>
      <c r="F15" s="141"/>
      <c r="G15" s="142">
        <f>F33*G14</f>
        <v>7898.3888888888887</v>
      </c>
      <c r="H15" s="142">
        <f>F33*H14</f>
        <v>2413.3966049382716</v>
      </c>
      <c r="I15" s="142">
        <f>F33*I14</f>
        <v>1316.398148148148</v>
      </c>
      <c r="J15" s="142">
        <f>F33*J14</f>
        <v>219.39969135802468</v>
      </c>
      <c r="K15" s="141"/>
      <c r="L15" s="143">
        <f>SUM(G15:K15)</f>
        <v>11847.583333333332</v>
      </c>
    </row>
    <row r="16" spans="2:12" x14ac:dyDescent="0.3">
      <c r="B16" s="99"/>
      <c r="C16" s="99"/>
      <c r="D16" s="99"/>
      <c r="E16" s="124" t="s">
        <v>92</v>
      </c>
      <c r="F16" s="114"/>
      <c r="G16" s="125">
        <f>G15/G13</f>
        <v>43.879938271604935</v>
      </c>
      <c r="H16" s="125">
        <f>H15/H13</f>
        <v>43.879938271604935</v>
      </c>
      <c r="I16" s="125">
        <f>I15/I13</f>
        <v>43.879938271604935</v>
      </c>
      <c r="J16" s="125">
        <f>J15/J13</f>
        <v>43.879938271604935</v>
      </c>
      <c r="K16" s="114"/>
      <c r="L16" s="102"/>
    </row>
    <row r="17" spans="2:12" x14ac:dyDescent="0.3">
      <c r="B17" s="99"/>
      <c r="C17" s="99"/>
      <c r="D17" s="99"/>
      <c r="E17" s="104"/>
      <c r="F17" s="99"/>
      <c r="G17" s="105"/>
      <c r="H17" s="105"/>
      <c r="I17" s="105"/>
      <c r="J17" s="105"/>
      <c r="K17" s="99"/>
      <c r="L17" s="105"/>
    </row>
    <row r="18" spans="2:12" x14ac:dyDescent="0.3">
      <c r="B18" s="99"/>
      <c r="C18" s="99"/>
      <c r="D18" s="99"/>
      <c r="E18" s="104"/>
      <c r="F18" s="99"/>
      <c r="G18" s="105"/>
      <c r="H18" s="105"/>
      <c r="I18" s="105"/>
      <c r="J18" s="105"/>
      <c r="K18" s="99"/>
      <c r="L18" s="105"/>
    </row>
    <row r="19" spans="2:12" x14ac:dyDescent="0.3">
      <c r="B19" s="99"/>
      <c r="C19" s="99"/>
      <c r="D19" s="99"/>
      <c r="E19" s="101"/>
      <c r="F19" s="99"/>
      <c r="G19" s="99"/>
      <c r="H19" s="99"/>
      <c r="I19" s="99"/>
      <c r="J19" s="99"/>
      <c r="K19" s="99"/>
      <c r="L19" s="99"/>
    </row>
    <row r="20" spans="2:12" x14ac:dyDescent="0.3">
      <c r="B20" s="99"/>
      <c r="C20" s="99"/>
      <c r="D20" s="99"/>
      <c r="E20" s="226" t="s">
        <v>65</v>
      </c>
      <c r="F20" s="226"/>
      <c r="G20" s="99"/>
      <c r="H20" s="99"/>
      <c r="I20" s="99"/>
      <c r="J20" s="99"/>
      <c r="K20" s="99"/>
      <c r="L20" s="99"/>
    </row>
    <row r="21" spans="2:12" x14ac:dyDescent="0.3">
      <c r="B21" s="224" t="s">
        <v>90</v>
      </c>
      <c r="C21" s="225"/>
      <c r="D21" s="132"/>
      <c r="E21" s="139" t="s">
        <v>151</v>
      </c>
      <c r="F21" s="130">
        <f>C29</f>
        <v>2414.25</v>
      </c>
      <c r="G21" s="99"/>
      <c r="H21" s="99"/>
      <c r="I21" s="99"/>
      <c r="J21" s="99"/>
      <c r="K21" s="99"/>
      <c r="L21" s="99"/>
    </row>
    <row r="22" spans="2:12" x14ac:dyDescent="0.3">
      <c r="B22" s="126" t="s">
        <v>66</v>
      </c>
      <c r="C22" s="127">
        <v>1500</v>
      </c>
      <c r="D22" s="99"/>
      <c r="E22" s="108" t="s">
        <v>152</v>
      </c>
      <c r="F22" s="107">
        <v>2500</v>
      </c>
      <c r="G22" s="99"/>
      <c r="H22" s="99"/>
      <c r="I22" s="99"/>
      <c r="J22" s="99"/>
      <c r="K22" s="99"/>
      <c r="L22" s="99"/>
    </row>
    <row r="23" spans="2:12" x14ac:dyDescent="0.3">
      <c r="B23" s="126" t="s">
        <v>67</v>
      </c>
      <c r="C23" s="127">
        <f>C22*0.22</f>
        <v>330</v>
      </c>
      <c r="D23" s="99"/>
      <c r="E23" s="108" t="s">
        <v>153</v>
      </c>
      <c r="F23" s="107">
        <v>1500</v>
      </c>
      <c r="G23" s="99"/>
      <c r="H23" s="99"/>
      <c r="I23" s="99"/>
      <c r="J23" s="99"/>
      <c r="K23" s="99"/>
      <c r="L23" s="99"/>
    </row>
    <row r="24" spans="2:12" x14ac:dyDescent="0.3">
      <c r="B24" s="126" t="s">
        <v>68</v>
      </c>
      <c r="C24" s="127">
        <f>C22*0.08</f>
        <v>120</v>
      </c>
      <c r="D24" s="99"/>
      <c r="E24" s="108" t="s">
        <v>154</v>
      </c>
      <c r="F24" s="107">
        <v>300</v>
      </c>
      <c r="G24" s="99"/>
      <c r="H24" s="99"/>
      <c r="I24" s="99"/>
      <c r="J24" s="99"/>
      <c r="K24" s="99"/>
      <c r="L24" s="99"/>
    </row>
    <row r="25" spans="2:12" x14ac:dyDescent="0.3">
      <c r="B25" s="126" t="s">
        <v>69</v>
      </c>
      <c r="C25" s="127">
        <f>C24*0.4</f>
        <v>48</v>
      </c>
      <c r="D25" s="99"/>
      <c r="E25" s="108" t="s">
        <v>155</v>
      </c>
      <c r="F25" s="107">
        <v>300</v>
      </c>
      <c r="G25" s="99"/>
      <c r="H25" s="99"/>
      <c r="I25" s="99"/>
      <c r="J25" s="99"/>
      <c r="K25" s="99"/>
      <c r="L25" s="99"/>
    </row>
    <row r="26" spans="2:12" x14ac:dyDescent="0.3">
      <c r="B26" s="126" t="s">
        <v>70</v>
      </c>
      <c r="C26" s="127">
        <f>C22/12</f>
        <v>125</v>
      </c>
      <c r="D26" s="99"/>
      <c r="E26" s="108" t="s">
        <v>156</v>
      </c>
      <c r="F26" s="107">
        <v>500</v>
      </c>
      <c r="G26" s="99"/>
      <c r="H26" s="99"/>
      <c r="I26" s="99"/>
      <c r="J26" s="99"/>
      <c r="K26" s="99"/>
      <c r="L26" s="99"/>
    </row>
    <row r="27" spans="2:12" x14ac:dyDescent="0.3">
      <c r="B27" s="126" t="s">
        <v>71</v>
      </c>
      <c r="C27" s="127">
        <f>C22/12</f>
        <v>125</v>
      </c>
      <c r="D27" s="99"/>
      <c r="E27" s="108" t="s">
        <v>157</v>
      </c>
      <c r="F27" s="107">
        <v>800</v>
      </c>
      <c r="G27" s="99"/>
      <c r="H27" s="99"/>
      <c r="I27" s="99"/>
      <c r="J27" s="99"/>
      <c r="K27" s="99"/>
      <c r="L27" s="99"/>
    </row>
    <row r="28" spans="2:12" ht="17.25" customHeight="1" x14ac:dyDescent="0.3">
      <c r="B28" s="126" t="s">
        <v>72</v>
      </c>
      <c r="C28" s="127">
        <f>(C22/12)*1.33</f>
        <v>166.25</v>
      </c>
      <c r="D28" s="99"/>
      <c r="E28" s="131" t="s">
        <v>158</v>
      </c>
      <c r="F28" s="127">
        <f>I36</f>
        <v>2833.3333333333335</v>
      </c>
      <c r="G28" s="132"/>
      <c r="H28" s="224" t="s">
        <v>75</v>
      </c>
      <c r="I28" s="225"/>
      <c r="J28" s="99"/>
      <c r="K28" s="99"/>
      <c r="L28" s="99"/>
    </row>
    <row r="29" spans="2:12" x14ac:dyDescent="0.3">
      <c r="B29" s="128" t="s">
        <v>76</v>
      </c>
      <c r="C29" s="129">
        <f>SUM(C22:C28)</f>
        <v>2414.25</v>
      </c>
      <c r="D29" s="99"/>
      <c r="E29" s="108" t="s">
        <v>159</v>
      </c>
      <c r="F29" s="107">
        <v>200</v>
      </c>
      <c r="G29" s="99"/>
      <c r="H29" s="126" t="s">
        <v>73</v>
      </c>
      <c r="I29" s="127">
        <v>140000</v>
      </c>
      <c r="J29" s="99"/>
      <c r="K29" s="99"/>
      <c r="L29" s="99"/>
    </row>
    <row r="30" spans="2:12" x14ac:dyDescent="0.3">
      <c r="B30" s="99"/>
      <c r="C30" s="99"/>
      <c r="D30" s="99"/>
      <c r="E30" s="108" t="s">
        <v>160</v>
      </c>
      <c r="F30" s="107">
        <v>300</v>
      </c>
      <c r="G30" s="99"/>
      <c r="H30" s="126" t="s">
        <v>74</v>
      </c>
      <c r="I30" s="127">
        <v>200000</v>
      </c>
      <c r="J30" s="99"/>
      <c r="K30" s="99"/>
      <c r="L30" s="99"/>
    </row>
    <row r="31" spans="2:12" x14ac:dyDescent="0.3">
      <c r="B31" s="99"/>
      <c r="C31" s="99"/>
      <c r="D31" s="99"/>
      <c r="E31" s="108" t="s">
        <v>161</v>
      </c>
      <c r="F31" s="107">
        <v>200</v>
      </c>
      <c r="G31" s="99"/>
      <c r="H31" s="126" t="s">
        <v>83</v>
      </c>
      <c r="I31" s="133">
        <f>SUM(I29:I30)</f>
        <v>340000</v>
      </c>
      <c r="J31" s="99"/>
      <c r="K31" s="99"/>
      <c r="L31" s="99"/>
    </row>
    <row r="32" spans="2:12" x14ac:dyDescent="0.3">
      <c r="B32" s="99"/>
      <c r="C32" s="99"/>
      <c r="D32" s="99"/>
      <c r="E32" s="106"/>
      <c r="F32" s="110"/>
      <c r="G32" s="99"/>
      <c r="H32" s="126" t="s">
        <v>77</v>
      </c>
      <c r="I32" s="134" t="s">
        <v>78</v>
      </c>
      <c r="J32" s="99"/>
      <c r="K32" s="99"/>
      <c r="L32" s="99"/>
    </row>
    <row r="33" spans="2:12" x14ac:dyDescent="0.3">
      <c r="B33" s="99"/>
      <c r="C33" s="99"/>
      <c r="D33" s="99"/>
      <c r="E33" s="111" t="s">
        <v>86</v>
      </c>
      <c r="F33" s="109">
        <f>SUM(F21:F32)</f>
        <v>11847.583333333334</v>
      </c>
      <c r="G33" s="99"/>
      <c r="H33" s="126" t="s">
        <v>79</v>
      </c>
      <c r="I33" s="134"/>
      <c r="J33" s="99"/>
      <c r="K33" s="99"/>
      <c r="L33" s="99"/>
    </row>
    <row r="34" spans="2:12" x14ac:dyDescent="0.3">
      <c r="B34" s="99"/>
      <c r="C34" s="99"/>
      <c r="D34" s="99"/>
      <c r="E34" s="106"/>
      <c r="F34" s="110"/>
      <c r="G34" s="99"/>
      <c r="H34" s="126" t="s">
        <v>80</v>
      </c>
      <c r="I34" s="135">
        <v>0.1</v>
      </c>
      <c r="J34" s="99"/>
      <c r="K34" s="99"/>
      <c r="L34" s="99"/>
    </row>
    <row r="35" spans="2:12" x14ac:dyDescent="0.3">
      <c r="B35" s="99"/>
      <c r="C35" s="99"/>
      <c r="D35" s="99"/>
      <c r="E35" s="112" t="s">
        <v>87</v>
      </c>
      <c r="F35" s="113">
        <f>F33*12</f>
        <v>142171</v>
      </c>
      <c r="G35" s="99"/>
      <c r="H35" s="126" t="s">
        <v>81</v>
      </c>
      <c r="I35" s="136">
        <f>I34/12</f>
        <v>8.3333333333333332E-3</v>
      </c>
      <c r="J35" s="99"/>
      <c r="K35" s="99"/>
      <c r="L35" s="99"/>
    </row>
    <row r="36" spans="2:12" x14ac:dyDescent="0.3">
      <c r="B36" s="99"/>
      <c r="C36" s="99"/>
      <c r="D36" s="99"/>
      <c r="E36" s="99"/>
      <c r="F36" s="99"/>
      <c r="G36" s="99"/>
      <c r="H36" s="137" t="s">
        <v>82</v>
      </c>
      <c r="I36" s="138">
        <f>I31*I35</f>
        <v>2833.3333333333335</v>
      </c>
      <c r="J36" s="99"/>
      <c r="K36" s="99"/>
      <c r="L36" s="99"/>
    </row>
    <row r="37" spans="2:12" x14ac:dyDescent="0.3">
      <c r="B37" s="99"/>
      <c r="C37" s="99"/>
      <c r="D37" s="99"/>
      <c r="E37" s="99"/>
      <c r="F37" s="99"/>
      <c r="G37" s="99"/>
      <c r="H37" s="99"/>
      <c r="I37" s="99"/>
      <c r="J37" s="99"/>
      <c r="K37" s="99"/>
      <c r="L37" s="99"/>
    </row>
    <row r="38" spans="2:12" x14ac:dyDescent="0.3"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</row>
    <row r="39" spans="2:12" x14ac:dyDescent="0.3">
      <c r="B39" s="99"/>
      <c r="C39" s="99"/>
      <c r="D39" s="99"/>
      <c r="E39" s="99"/>
      <c r="F39" s="99"/>
      <c r="G39" s="99"/>
      <c r="H39" s="99"/>
      <c r="I39" s="99"/>
      <c r="J39" s="99"/>
      <c r="K39" s="99"/>
      <c r="L39" s="99"/>
    </row>
    <row r="40" spans="2:12" x14ac:dyDescent="0.3">
      <c r="B40" s="99"/>
      <c r="C40" s="99"/>
      <c r="D40" s="99"/>
      <c r="E40" s="99"/>
      <c r="F40" s="99"/>
      <c r="G40" s="99"/>
      <c r="H40" s="99"/>
      <c r="I40" s="99"/>
      <c r="J40" s="99"/>
      <c r="K40" s="99"/>
      <c r="L40" s="99"/>
    </row>
    <row r="41" spans="2:12" x14ac:dyDescent="0.3"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</row>
    <row r="42" spans="2:12" x14ac:dyDescent="0.3">
      <c r="B42" s="99"/>
      <c r="C42" s="99"/>
      <c r="D42" s="99"/>
      <c r="E42" s="99"/>
      <c r="F42" s="99"/>
      <c r="G42" s="99"/>
      <c r="H42" s="99"/>
      <c r="I42" s="99"/>
      <c r="J42" s="99"/>
      <c r="K42" s="99"/>
      <c r="L42" s="99"/>
    </row>
    <row r="43" spans="2:12" x14ac:dyDescent="0.3">
      <c r="B43" s="99"/>
      <c r="C43" s="99"/>
      <c r="D43" s="99"/>
      <c r="E43" s="99"/>
      <c r="F43" s="99"/>
      <c r="G43" s="99"/>
      <c r="H43" s="99"/>
      <c r="I43" s="99"/>
      <c r="J43" s="99"/>
      <c r="K43" s="99"/>
      <c r="L43" s="99"/>
    </row>
    <row r="44" spans="2:12" x14ac:dyDescent="0.3">
      <c r="B44" s="99"/>
      <c r="C44" s="99"/>
      <c r="D44" s="99"/>
      <c r="E44" s="99"/>
      <c r="F44" s="99"/>
      <c r="G44" s="99"/>
      <c r="H44" s="99"/>
      <c r="I44" s="99"/>
      <c r="J44" s="99"/>
      <c r="K44" s="99"/>
      <c r="L44" s="99"/>
    </row>
    <row r="45" spans="2:12" x14ac:dyDescent="0.3">
      <c r="B45" s="99"/>
      <c r="C45" s="99"/>
      <c r="D45" s="99"/>
      <c r="E45" s="99"/>
      <c r="F45" s="99"/>
      <c r="G45" s="99"/>
      <c r="H45" s="99"/>
      <c r="I45" s="99"/>
      <c r="J45" s="99"/>
      <c r="K45" s="99"/>
      <c r="L45" s="99"/>
    </row>
  </sheetData>
  <mergeCells count="4">
    <mergeCell ref="G6:K6"/>
    <mergeCell ref="B21:C21"/>
    <mergeCell ref="H28:I28"/>
    <mergeCell ref="E20:F20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CDA87-AA6F-410E-BD70-B3A13780D420}">
  <dimension ref="B3:L28"/>
  <sheetViews>
    <sheetView topLeftCell="A4" zoomScaleNormal="100" workbookViewId="0">
      <selection activeCell="G29" sqref="G29"/>
    </sheetView>
  </sheetViews>
  <sheetFormatPr defaultRowHeight="14.4" x14ac:dyDescent="0.3"/>
  <cols>
    <col min="2" max="2" width="39.44140625" customWidth="1"/>
    <col min="3" max="3" width="18.44140625" customWidth="1"/>
    <col min="4" max="4" width="43.6640625" customWidth="1"/>
    <col min="5" max="5" width="24" customWidth="1"/>
    <col min="9" max="9" width="35.6640625" bestFit="1" customWidth="1"/>
    <col min="10" max="10" width="19" customWidth="1"/>
    <col min="11" max="11" width="32.109375" bestFit="1" customWidth="1"/>
    <col min="12" max="12" width="17.88671875" customWidth="1"/>
  </cols>
  <sheetData>
    <row r="3" spans="2:12" ht="15.75" customHeight="1" x14ac:dyDescent="0.3">
      <c r="B3" s="227"/>
      <c r="C3" s="227"/>
      <c r="D3" s="227"/>
      <c r="E3" s="227"/>
    </row>
    <row r="4" spans="2:12" ht="15.75" customHeight="1" x14ac:dyDescent="0.3">
      <c r="B4" s="227"/>
      <c r="C4" s="227"/>
      <c r="D4" s="227"/>
      <c r="E4" s="227"/>
    </row>
    <row r="5" spans="2:12" ht="15.6" x14ac:dyDescent="0.3">
      <c r="B5" s="236" t="s">
        <v>185</v>
      </c>
      <c r="C5" s="236"/>
      <c r="D5" s="236"/>
      <c r="E5" s="236"/>
    </row>
    <row r="6" spans="2:12" ht="15" thickBot="1" x14ac:dyDescent="0.35">
      <c r="B6" s="8"/>
      <c r="C6" s="8"/>
      <c r="D6" s="8"/>
      <c r="E6" s="8"/>
    </row>
    <row r="7" spans="2:12" x14ac:dyDescent="0.3">
      <c r="B7" s="237" t="s">
        <v>186</v>
      </c>
      <c r="C7" s="238"/>
      <c r="D7" s="237" t="s">
        <v>187</v>
      </c>
      <c r="E7" s="238"/>
      <c r="I7" s="237" t="s">
        <v>186</v>
      </c>
      <c r="J7" s="238"/>
      <c r="K7" s="237" t="s">
        <v>187</v>
      </c>
      <c r="L7" s="238"/>
    </row>
    <row r="8" spans="2:12" ht="15" thickBot="1" x14ac:dyDescent="0.35">
      <c r="B8" s="239"/>
      <c r="C8" s="240"/>
      <c r="D8" s="239"/>
      <c r="E8" s="240"/>
      <c r="I8" s="239"/>
      <c r="J8" s="240"/>
      <c r="K8" s="239"/>
      <c r="L8" s="240"/>
    </row>
    <row r="9" spans="2:12" ht="46.5" customHeight="1" x14ac:dyDescent="0.3">
      <c r="B9" s="95" t="s">
        <v>188</v>
      </c>
      <c r="C9" s="79">
        <v>1235249</v>
      </c>
      <c r="D9" s="95" t="s">
        <v>188</v>
      </c>
      <c r="E9" s="80">
        <v>1423381.5</v>
      </c>
      <c r="I9" s="95" t="s">
        <v>188</v>
      </c>
      <c r="J9" s="79">
        <v>1235249</v>
      </c>
      <c r="K9" s="95" t="s">
        <v>188</v>
      </c>
      <c r="L9" s="80">
        <v>1423381.5</v>
      </c>
    </row>
    <row r="10" spans="2:12" ht="17.399999999999999" x14ac:dyDescent="0.3">
      <c r="B10" s="81" t="s">
        <v>189</v>
      </c>
      <c r="C10" s="82">
        <v>8806</v>
      </c>
      <c r="D10" s="81" t="s">
        <v>190</v>
      </c>
      <c r="E10" s="83">
        <v>301261</v>
      </c>
      <c r="I10" s="228">
        <f>SUM(C9/C28)</f>
        <v>0.14397908749413127</v>
      </c>
      <c r="J10" s="229"/>
      <c r="K10" s="232">
        <f>L9/L28</f>
        <v>0.16590757776450563</v>
      </c>
      <c r="L10" s="233"/>
    </row>
    <row r="11" spans="2:12" ht="17.399999999999999" x14ac:dyDescent="0.3">
      <c r="B11" s="81" t="s">
        <v>191</v>
      </c>
      <c r="C11" s="82">
        <v>201371</v>
      </c>
      <c r="D11" s="81" t="s">
        <v>192</v>
      </c>
      <c r="E11" s="83">
        <v>91045</v>
      </c>
      <c r="I11" s="228"/>
      <c r="J11" s="229"/>
      <c r="K11" s="232"/>
      <c r="L11" s="233"/>
    </row>
    <row r="12" spans="2:12" ht="17.399999999999999" x14ac:dyDescent="0.3">
      <c r="B12" s="81" t="s">
        <v>193</v>
      </c>
      <c r="C12" s="82">
        <v>346113</v>
      </c>
      <c r="D12" s="81" t="s">
        <v>194</v>
      </c>
      <c r="E12" s="83">
        <v>92605</v>
      </c>
      <c r="I12" s="228"/>
      <c r="J12" s="229"/>
      <c r="K12" s="232"/>
      <c r="L12" s="233"/>
    </row>
    <row r="13" spans="2:12" ht="17.399999999999999" x14ac:dyDescent="0.3">
      <c r="B13" s="81" t="s">
        <v>195</v>
      </c>
      <c r="C13" s="82">
        <v>563167</v>
      </c>
      <c r="D13" s="89" t="s">
        <v>196</v>
      </c>
      <c r="E13" s="90">
        <v>72082.5</v>
      </c>
      <c r="I13" s="228"/>
      <c r="J13" s="229"/>
      <c r="K13" s="232"/>
      <c r="L13" s="233"/>
    </row>
    <row r="14" spans="2:12" ht="17.399999999999999" x14ac:dyDescent="0.3">
      <c r="B14" s="81" t="s">
        <v>197</v>
      </c>
      <c r="C14" s="82">
        <v>115792</v>
      </c>
      <c r="D14" s="89" t="s">
        <v>198</v>
      </c>
      <c r="E14" s="91">
        <v>866388</v>
      </c>
      <c r="I14" s="228"/>
      <c r="J14" s="229"/>
      <c r="K14" s="232"/>
      <c r="L14" s="233"/>
    </row>
    <row r="15" spans="2:12" ht="17.399999999999999" x14ac:dyDescent="0.3">
      <c r="B15" s="78"/>
      <c r="C15" s="84"/>
      <c r="D15" s="92"/>
      <c r="E15" s="93"/>
      <c r="I15" s="228"/>
      <c r="J15" s="229"/>
      <c r="K15" s="232"/>
      <c r="L15" s="233"/>
    </row>
    <row r="16" spans="2:12" ht="17.399999999999999" x14ac:dyDescent="0.3">
      <c r="B16" s="95" t="s">
        <v>199</v>
      </c>
      <c r="C16" s="84">
        <v>7344115</v>
      </c>
      <c r="D16" s="96" t="s">
        <v>199</v>
      </c>
      <c r="E16" s="93">
        <v>3734218</v>
      </c>
      <c r="I16" s="95" t="s">
        <v>200</v>
      </c>
      <c r="J16" s="79">
        <v>1312662</v>
      </c>
      <c r="K16" s="96" t="s">
        <v>199</v>
      </c>
      <c r="L16" s="93">
        <v>3734218</v>
      </c>
    </row>
    <row r="17" spans="2:12" ht="18" x14ac:dyDescent="0.3">
      <c r="B17" s="78" t="s">
        <v>200</v>
      </c>
      <c r="C17" s="85"/>
      <c r="D17" s="89" t="s">
        <v>201</v>
      </c>
      <c r="E17" s="91">
        <v>478559</v>
      </c>
      <c r="I17" s="228">
        <f>C16/C28</f>
        <v>0.85602091250586876</v>
      </c>
      <c r="J17" s="229"/>
      <c r="K17" s="232">
        <f>L16/L28</f>
        <v>0.43525580684069354</v>
      </c>
      <c r="L17" s="233"/>
    </row>
    <row r="18" spans="2:12" ht="17.399999999999999" x14ac:dyDescent="0.3">
      <c r="B18" s="81" t="s">
        <v>202</v>
      </c>
      <c r="C18" s="82">
        <v>1312662</v>
      </c>
      <c r="D18" s="89" t="s">
        <v>203</v>
      </c>
      <c r="E18" s="91">
        <v>2022952</v>
      </c>
      <c r="I18" s="228"/>
      <c r="J18" s="229"/>
      <c r="K18" s="232"/>
      <c r="L18" s="233"/>
    </row>
    <row r="19" spans="2:12" ht="17.399999999999999" x14ac:dyDescent="0.3">
      <c r="B19" s="86"/>
      <c r="C19" s="8"/>
      <c r="D19" s="89" t="s">
        <v>204</v>
      </c>
      <c r="E19" s="91">
        <v>219545</v>
      </c>
      <c r="I19" s="228"/>
      <c r="J19" s="229"/>
      <c r="K19" s="232"/>
      <c r="L19" s="233"/>
    </row>
    <row r="20" spans="2:12" ht="17.399999999999999" x14ac:dyDescent="0.3">
      <c r="B20" s="86"/>
      <c r="C20" s="8"/>
      <c r="D20" s="89" t="s">
        <v>206</v>
      </c>
      <c r="E20" s="91">
        <v>488138</v>
      </c>
      <c r="I20" s="228"/>
      <c r="J20" s="229"/>
      <c r="K20" s="232"/>
      <c r="L20" s="233"/>
    </row>
    <row r="21" spans="2:12" ht="17.399999999999999" x14ac:dyDescent="0.3">
      <c r="B21" s="86"/>
      <c r="C21" s="8"/>
      <c r="D21" s="89" t="s">
        <v>208</v>
      </c>
      <c r="E21" s="91">
        <v>525024</v>
      </c>
      <c r="I21" s="228"/>
      <c r="J21" s="229"/>
      <c r="K21" s="232"/>
      <c r="L21" s="233"/>
    </row>
    <row r="22" spans="2:12" ht="17.399999999999999" x14ac:dyDescent="0.3">
      <c r="B22" s="86"/>
      <c r="C22" s="8"/>
      <c r="D22" s="89"/>
      <c r="E22" s="91"/>
      <c r="I22" s="228"/>
      <c r="J22" s="229"/>
      <c r="K22" s="232"/>
      <c r="L22" s="233"/>
    </row>
    <row r="23" spans="2:12" ht="17.399999999999999" x14ac:dyDescent="0.3">
      <c r="B23" s="95" t="s">
        <v>216</v>
      </c>
      <c r="C23" s="8"/>
      <c r="D23" s="97" t="s">
        <v>210</v>
      </c>
      <c r="E23" s="94">
        <v>3421764.5</v>
      </c>
      <c r="I23" s="95" t="s">
        <v>216</v>
      </c>
      <c r="J23" s="98">
        <f>SUM(C24:C26)</f>
        <v>6031453</v>
      </c>
      <c r="K23" s="97" t="s">
        <v>210</v>
      </c>
      <c r="L23" s="94">
        <v>3421764.5</v>
      </c>
    </row>
    <row r="24" spans="2:12" ht="17.399999999999999" x14ac:dyDescent="0.3">
      <c r="B24" s="81" t="s">
        <v>205</v>
      </c>
      <c r="C24" s="82">
        <v>1266486</v>
      </c>
      <c r="D24" s="89" t="s">
        <v>211</v>
      </c>
      <c r="E24" s="91">
        <v>1221000</v>
      </c>
      <c r="I24" s="228">
        <f>J23/J28</f>
        <v>0.70301866198939689</v>
      </c>
      <c r="J24" s="229"/>
      <c r="K24" s="232">
        <f>L23/L28</f>
        <v>0.39883661539480081</v>
      </c>
      <c r="L24" s="233"/>
    </row>
    <row r="25" spans="2:12" ht="17.399999999999999" x14ac:dyDescent="0.3">
      <c r="B25" s="81" t="s">
        <v>207</v>
      </c>
      <c r="C25" s="82">
        <v>3872067</v>
      </c>
      <c r="D25" s="89" t="s">
        <v>212</v>
      </c>
      <c r="E25" s="91">
        <v>1000276</v>
      </c>
      <c r="I25" s="228"/>
      <c r="J25" s="229"/>
      <c r="K25" s="232"/>
      <c r="L25" s="233"/>
    </row>
    <row r="26" spans="2:12" ht="17.399999999999999" x14ac:dyDescent="0.3">
      <c r="B26" s="81" t="s">
        <v>209</v>
      </c>
      <c r="C26" s="82">
        <v>892900</v>
      </c>
      <c r="D26" s="89" t="s">
        <v>213</v>
      </c>
      <c r="E26" s="91">
        <v>1042000</v>
      </c>
      <c r="I26" s="228"/>
      <c r="J26" s="229"/>
      <c r="K26" s="232"/>
      <c r="L26" s="233"/>
    </row>
    <row r="27" spans="2:12" ht="18" thickBot="1" x14ac:dyDescent="0.35">
      <c r="B27" s="86"/>
      <c r="C27" s="8"/>
      <c r="D27" s="89" t="s">
        <v>214</v>
      </c>
      <c r="E27" s="90">
        <v>158488.5</v>
      </c>
      <c r="I27" s="230"/>
      <c r="J27" s="231"/>
      <c r="K27" s="234"/>
      <c r="L27" s="235"/>
    </row>
    <row r="28" spans="2:12" ht="18" thickBot="1" x14ac:dyDescent="0.35">
      <c r="B28" s="87" t="s">
        <v>215</v>
      </c>
      <c r="C28" s="88">
        <v>8579364</v>
      </c>
      <c r="D28" s="87" t="s">
        <v>215</v>
      </c>
      <c r="E28" s="88">
        <v>8579364</v>
      </c>
      <c r="I28" s="87" t="s">
        <v>215</v>
      </c>
      <c r="J28" s="88">
        <v>8579364</v>
      </c>
      <c r="K28" s="87" t="s">
        <v>215</v>
      </c>
      <c r="L28" s="88">
        <v>8579364</v>
      </c>
    </row>
  </sheetData>
  <mergeCells count="13">
    <mergeCell ref="B3:E3"/>
    <mergeCell ref="B4:E4"/>
    <mergeCell ref="I24:J27"/>
    <mergeCell ref="K24:L27"/>
    <mergeCell ref="B5:E5"/>
    <mergeCell ref="B7:C8"/>
    <mergeCell ref="D7:E8"/>
    <mergeCell ref="I7:J8"/>
    <mergeCell ref="K7:L8"/>
    <mergeCell ref="I10:J15"/>
    <mergeCell ref="K10:L15"/>
    <mergeCell ref="I17:J22"/>
    <mergeCell ref="K17:L22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7D1BE-289B-4BF7-B258-A7CC2726FB7B}">
  <dimension ref="A1:J32"/>
  <sheetViews>
    <sheetView zoomScale="130" zoomScaleNormal="130" workbookViewId="0">
      <selection activeCell="F13" sqref="F13"/>
    </sheetView>
  </sheetViews>
  <sheetFormatPr defaultRowHeight="14.4" x14ac:dyDescent="0.3"/>
  <cols>
    <col min="2" max="2" width="83.6640625" customWidth="1"/>
    <col min="3" max="3" width="18.6640625" bestFit="1" customWidth="1"/>
    <col min="4" max="4" width="10" bestFit="1" customWidth="1"/>
    <col min="6" max="6" width="39.44140625" bestFit="1" customWidth="1"/>
  </cols>
  <sheetData>
    <row r="1" spans="1:10" x14ac:dyDescent="0.3">
      <c r="A1" s="8"/>
      <c r="B1" s="8"/>
      <c r="C1" s="8"/>
      <c r="D1" s="8"/>
      <c r="E1" s="8"/>
      <c r="F1" s="8"/>
      <c r="G1" s="8"/>
      <c r="H1" s="8"/>
      <c r="I1" s="8"/>
      <c r="J1" s="8"/>
    </row>
    <row r="2" spans="1:10" ht="17.399999999999999" x14ac:dyDescent="0.3">
      <c r="A2" s="8"/>
      <c r="B2" s="241" t="s">
        <v>162</v>
      </c>
      <c r="C2" s="242"/>
      <c r="D2" s="150"/>
      <c r="E2" s="151"/>
      <c r="F2" s="8"/>
      <c r="G2" s="8"/>
      <c r="H2" s="8"/>
      <c r="I2" s="8"/>
      <c r="J2" s="8"/>
    </row>
    <row r="3" spans="1:10" ht="20.399999999999999" x14ac:dyDescent="0.3">
      <c r="A3" s="8"/>
      <c r="B3" s="152" t="s">
        <v>163</v>
      </c>
      <c r="C3" s="153">
        <v>2394514</v>
      </c>
      <c r="D3" s="154"/>
      <c r="E3" s="155"/>
      <c r="F3" s="155"/>
      <c r="G3" s="155"/>
      <c r="H3" s="155"/>
      <c r="I3" s="155"/>
      <c r="J3" s="8"/>
    </row>
    <row r="4" spans="1:10" ht="20.399999999999999" x14ac:dyDescent="0.3">
      <c r="A4" s="8"/>
      <c r="B4" s="152" t="s">
        <v>164</v>
      </c>
      <c r="C4" s="153">
        <v>-202178</v>
      </c>
      <c r="D4" s="150" t="s">
        <v>165</v>
      </c>
      <c r="E4" s="151"/>
      <c r="F4" s="8"/>
      <c r="G4" s="8"/>
      <c r="H4" s="8"/>
      <c r="I4" s="8"/>
      <c r="J4" s="8"/>
    </row>
    <row r="5" spans="1:10" ht="21" x14ac:dyDescent="0.4">
      <c r="A5" s="8"/>
      <c r="B5" s="157" t="s">
        <v>166</v>
      </c>
      <c r="C5" s="158">
        <f>SUM(C3:C4)</f>
        <v>2192336</v>
      </c>
      <c r="D5" s="68">
        <v>1</v>
      </c>
      <c r="E5" s="151"/>
      <c r="F5" s="156" t="s">
        <v>167</v>
      </c>
      <c r="G5" s="8"/>
      <c r="H5" s="8"/>
      <c r="I5" s="8"/>
      <c r="J5" s="8"/>
    </row>
    <row r="6" spans="1:10" ht="21" x14ac:dyDescent="0.4">
      <c r="A6" s="8"/>
      <c r="B6" s="69" t="s">
        <v>168</v>
      </c>
      <c r="C6" s="67">
        <v>-1300000</v>
      </c>
      <c r="D6" s="70">
        <f>C6/C5*100</f>
        <v>-59.297479948329091</v>
      </c>
      <c r="E6" s="151"/>
      <c r="F6" s="8"/>
      <c r="G6" s="8"/>
      <c r="H6" s="8"/>
      <c r="I6" s="8"/>
      <c r="J6" s="8"/>
    </row>
    <row r="7" spans="1:10" ht="21" x14ac:dyDescent="0.4">
      <c r="A7" s="8"/>
      <c r="B7" s="69" t="s">
        <v>169</v>
      </c>
      <c r="C7" s="67">
        <v>892336</v>
      </c>
      <c r="D7" s="70">
        <f>C7/C5*100</f>
        <v>40.702520051670909</v>
      </c>
      <c r="E7" s="75" t="s">
        <v>170</v>
      </c>
      <c r="F7" s="76"/>
      <c r="G7" s="8"/>
      <c r="H7" s="8"/>
      <c r="I7" s="8"/>
      <c r="J7" s="8"/>
    </row>
    <row r="8" spans="1:10" ht="24" customHeight="1" x14ac:dyDescent="0.4">
      <c r="A8" s="8"/>
      <c r="B8" s="69" t="s">
        <v>171</v>
      </c>
      <c r="C8" s="67">
        <f>SUM(C9:C10)</f>
        <v>-170641</v>
      </c>
      <c r="D8" s="70">
        <f>C8/C5*100</f>
        <v>-7.7835240583560186</v>
      </c>
      <c r="E8" s="75"/>
      <c r="F8" s="76"/>
      <c r="G8" s="8"/>
      <c r="H8" s="8"/>
      <c r="I8" s="8"/>
      <c r="J8" s="8"/>
    </row>
    <row r="9" spans="1:10" ht="21" x14ac:dyDescent="0.4">
      <c r="A9" s="8"/>
      <c r="B9" s="71" t="s">
        <v>183</v>
      </c>
      <c r="C9" s="72">
        <v>-49532</v>
      </c>
      <c r="D9" s="70">
        <f>C9/C5*100</f>
        <v>-2.2593252129235664</v>
      </c>
      <c r="E9" s="75"/>
      <c r="F9" s="76"/>
      <c r="G9" s="8"/>
      <c r="H9" s="8"/>
      <c r="I9" s="8"/>
      <c r="J9" s="8"/>
    </row>
    <row r="10" spans="1:10" ht="21" x14ac:dyDescent="0.4">
      <c r="A10" s="8"/>
      <c r="B10" s="71" t="s">
        <v>184</v>
      </c>
      <c r="C10" s="72">
        <v>-121109</v>
      </c>
      <c r="D10" s="70">
        <f>C10/C5*100</f>
        <v>-5.5241988454324522</v>
      </c>
      <c r="E10" s="75"/>
      <c r="F10" s="76"/>
      <c r="G10" s="8"/>
      <c r="H10" s="8"/>
      <c r="I10" s="8"/>
      <c r="J10" s="8"/>
    </row>
    <row r="11" spans="1:10" ht="40.799999999999997" x14ac:dyDescent="0.4">
      <c r="A11" s="8"/>
      <c r="B11" s="73" t="s">
        <v>217</v>
      </c>
      <c r="C11" s="67">
        <v>41000</v>
      </c>
      <c r="D11" s="70">
        <f>C11/C5*100</f>
        <v>1.8701512906780713</v>
      </c>
      <c r="E11" s="75"/>
      <c r="F11" s="8"/>
      <c r="G11" s="8"/>
      <c r="H11" s="8"/>
      <c r="I11" s="8"/>
      <c r="J11" s="8"/>
    </row>
    <row r="12" spans="1:10" ht="21" x14ac:dyDescent="0.4">
      <c r="A12" s="8"/>
      <c r="B12" s="74" t="s">
        <v>172</v>
      </c>
      <c r="C12" s="67">
        <f>SUM(C7,C8,C11)</f>
        <v>762695</v>
      </c>
      <c r="D12" s="70">
        <f>C12/C5*100</f>
        <v>34.789147283992968</v>
      </c>
      <c r="E12" s="75"/>
      <c r="F12" s="76"/>
      <c r="G12" s="8"/>
      <c r="H12" s="8"/>
      <c r="I12" s="8"/>
      <c r="J12" s="8"/>
    </row>
    <row r="13" spans="1:10" ht="21" x14ac:dyDescent="0.4">
      <c r="A13" s="8"/>
      <c r="B13" s="71" t="s">
        <v>173</v>
      </c>
      <c r="C13" s="67">
        <v>-504828</v>
      </c>
      <c r="D13" s="70">
        <f>C13/C5*100</f>
        <v>-23.026944774888523</v>
      </c>
      <c r="E13" s="75"/>
      <c r="F13" s="76"/>
      <c r="G13" s="8"/>
      <c r="H13" s="8"/>
      <c r="I13" s="8"/>
      <c r="J13" s="8"/>
    </row>
    <row r="14" spans="1:10" ht="21" x14ac:dyDescent="0.4">
      <c r="A14" s="8"/>
      <c r="B14" s="69" t="s">
        <v>174</v>
      </c>
      <c r="C14" s="67">
        <f>SUM(C12:C13)</f>
        <v>257867</v>
      </c>
      <c r="D14" s="70">
        <f>C14/C5*100</f>
        <v>11.762202509104444</v>
      </c>
      <c r="E14" s="75" t="s">
        <v>175</v>
      </c>
      <c r="F14" s="76"/>
      <c r="G14" s="8"/>
      <c r="H14" s="8"/>
      <c r="I14" s="8"/>
      <c r="J14" s="8"/>
    </row>
    <row r="15" spans="1:10" ht="21" x14ac:dyDescent="0.4">
      <c r="A15" s="8"/>
      <c r="B15" s="69" t="s">
        <v>176</v>
      </c>
      <c r="C15" s="67">
        <v>-17592</v>
      </c>
      <c r="D15" s="70">
        <f>C15/C5*100</f>
        <v>-0.8024317440392349</v>
      </c>
      <c r="E15" s="75"/>
      <c r="F15" s="76"/>
      <c r="G15" s="8"/>
      <c r="H15" s="8"/>
      <c r="I15" s="8"/>
      <c r="J15" s="8"/>
    </row>
    <row r="16" spans="1:10" ht="21" x14ac:dyDescent="0.4">
      <c r="A16" s="8"/>
      <c r="B16" s="69" t="s">
        <v>177</v>
      </c>
      <c r="C16" s="67">
        <f>SUM(C14:C15)</f>
        <v>240275</v>
      </c>
      <c r="D16" s="70">
        <f>C16/C5*100</f>
        <v>10.959770765065208</v>
      </c>
      <c r="E16" s="75"/>
      <c r="F16" s="76"/>
      <c r="G16" s="8"/>
      <c r="H16" s="8"/>
      <c r="I16" s="8"/>
      <c r="J16" s="8"/>
    </row>
    <row r="17" spans="1:10" ht="21" x14ac:dyDescent="0.4">
      <c r="A17" s="8"/>
      <c r="B17" s="69" t="s">
        <v>178</v>
      </c>
      <c r="C17" s="77">
        <v>-72082.5</v>
      </c>
      <c r="D17" s="70">
        <f>C17/C5*100</f>
        <v>-3.2879312295195624</v>
      </c>
      <c r="E17" s="75"/>
      <c r="F17" s="76"/>
      <c r="G17" s="8"/>
      <c r="H17" s="8"/>
      <c r="I17" s="8"/>
      <c r="J17" s="8"/>
    </row>
    <row r="18" spans="1:10" ht="21" x14ac:dyDescent="0.4">
      <c r="A18" s="8"/>
      <c r="B18" s="69" t="s">
        <v>179</v>
      </c>
      <c r="C18" s="77">
        <v>168192.5</v>
      </c>
      <c r="D18" s="70">
        <f>C18/C5*100</f>
        <v>7.6718395355456463</v>
      </c>
      <c r="E18" s="75"/>
      <c r="F18" s="76"/>
      <c r="G18" s="8"/>
      <c r="H18" s="8"/>
      <c r="I18" s="8"/>
      <c r="J18" s="8"/>
    </row>
    <row r="19" spans="1:10" ht="21" x14ac:dyDescent="0.4">
      <c r="A19" s="8"/>
      <c r="B19" s="69" t="s">
        <v>180</v>
      </c>
      <c r="C19" s="67">
        <v>-9704</v>
      </c>
      <c r="D19" s="70">
        <f>C19/C5*100</f>
        <v>-0.44263288109121962</v>
      </c>
      <c r="E19" s="75"/>
      <c r="F19" s="76"/>
      <c r="G19" s="8"/>
      <c r="H19" s="8"/>
      <c r="I19" s="8"/>
      <c r="J19" s="8"/>
    </row>
    <row r="20" spans="1:10" ht="21" x14ac:dyDescent="0.4">
      <c r="A20" s="8"/>
      <c r="B20" s="69" t="s">
        <v>181</v>
      </c>
      <c r="C20" s="77">
        <f>SUM(C18:C19)</f>
        <v>158488.5</v>
      </c>
      <c r="D20" s="70">
        <f>C20/C5*100</f>
        <v>7.2292066544544271</v>
      </c>
      <c r="E20" s="75" t="s">
        <v>182</v>
      </c>
      <c r="F20" s="76"/>
      <c r="G20" s="8"/>
      <c r="H20" s="8"/>
      <c r="I20" s="8"/>
      <c r="J20" s="8"/>
    </row>
    <row r="21" spans="1:10" x14ac:dyDescent="0.3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3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0" x14ac:dyDescent="0.3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0" x14ac:dyDescent="0.3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 x14ac:dyDescent="0.3">
      <c r="A26" s="8"/>
      <c r="B26" s="8"/>
      <c r="C26" s="8"/>
      <c r="D26" s="8"/>
      <c r="E26" s="8"/>
      <c r="F26" s="8"/>
      <c r="G26" s="8"/>
      <c r="H26" s="8"/>
      <c r="I26" s="8"/>
      <c r="J26" s="8"/>
    </row>
    <row r="27" spans="1:10" x14ac:dyDescent="0.3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0" x14ac:dyDescent="0.3">
      <c r="A28" s="8"/>
      <c r="B28" s="8"/>
      <c r="C28" s="8"/>
      <c r="D28" s="8"/>
      <c r="E28" s="8"/>
      <c r="F28" s="8"/>
      <c r="G28" s="8"/>
      <c r="H28" s="8"/>
      <c r="I28" s="8"/>
      <c r="J28" s="8"/>
    </row>
    <row r="29" spans="1:10" x14ac:dyDescent="0.3">
      <c r="A29" s="8"/>
      <c r="B29" s="8"/>
      <c r="C29" s="8"/>
      <c r="D29" s="8"/>
      <c r="E29" s="8"/>
      <c r="F29" s="8"/>
      <c r="G29" s="8"/>
      <c r="H29" s="8"/>
      <c r="I29" s="8"/>
      <c r="J29" s="8"/>
    </row>
    <row r="30" spans="1:10" x14ac:dyDescent="0.3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spans="1:10" x14ac:dyDescent="0.3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spans="1:10" x14ac:dyDescent="0.3">
      <c r="A32" s="8"/>
      <c r="B32" s="8"/>
      <c r="C32" s="8"/>
      <c r="D32" s="8"/>
      <c r="E32" s="8"/>
      <c r="F32" s="8"/>
      <c r="G32" s="8"/>
      <c r="H32" s="8"/>
      <c r="I32" s="8"/>
      <c r="J32" s="8"/>
    </row>
  </sheetData>
  <mergeCells count="1">
    <mergeCell ref="B2:C2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0EFA2-FCBE-4093-9A59-59F0B5452947}">
  <dimension ref="A1:T25"/>
  <sheetViews>
    <sheetView zoomScale="70" zoomScaleNormal="70" workbookViewId="0">
      <selection activeCell="E4" sqref="E4:E6"/>
    </sheetView>
  </sheetViews>
  <sheetFormatPr defaultRowHeight="14.4" x14ac:dyDescent="0.3"/>
  <cols>
    <col min="2" max="2" width="52.5546875" customWidth="1"/>
    <col min="3" max="3" width="60" customWidth="1"/>
    <col min="4" max="4" width="22.109375" customWidth="1"/>
    <col min="5" max="5" width="21.44140625" customWidth="1"/>
    <col min="6" max="6" width="17.109375" customWidth="1"/>
    <col min="7" max="7" width="19.88671875" customWidth="1"/>
    <col min="8" max="8" width="29.88671875" customWidth="1"/>
    <col min="9" max="9" width="24.5546875" customWidth="1"/>
    <col min="10" max="10" width="25" customWidth="1"/>
    <col min="11" max="11" width="23.88671875" customWidth="1"/>
    <col min="12" max="12" width="25.33203125" customWidth="1"/>
  </cols>
  <sheetData>
    <row r="1" spans="1:20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</row>
    <row r="2" spans="1:20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ht="15" thickBot="1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ht="25.2" thickBot="1" x14ac:dyDescent="0.35">
      <c r="A4" s="8"/>
      <c r="B4" s="159" t="s">
        <v>218</v>
      </c>
      <c r="C4" s="253" t="s">
        <v>220</v>
      </c>
      <c r="D4" s="253" t="s">
        <v>221</v>
      </c>
      <c r="E4" s="253">
        <v>2024</v>
      </c>
      <c r="F4" s="253" t="s">
        <v>222</v>
      </c>
      <c r="G4" s="160" t="s">
        <v>223</v>
      </c>
      <c r="H4" s="256" t="s">
        <v>224</v>
      </c>
      <c r="I4" s="257"/>
      <c r="J4" s="257"/>
      <c r="K4" s="257"/>
      <c r="L4" s="258"/>
      <c r="M4" s="8"/>
      <c r="N4" s="8"/>
      <c r="O4" s="8"/>
      <c r="P4" s="8"/>
      <c r="Q4" s="8"/>
      <c r="R4" s="8"/>
      <c r="S4" s="8"/>
      <c r="T4" s="8"/>
    </row>
    <row r="5" spans="1:20" ht="24.6" x14ac:dyDescent="0.3">
      <c r="A5" s="8"/>
      <c r="B5" s="161" t="s">
        <v>219</v>
      </c>
      <c r="C5" s="254"/>
      <c r="D5" s="254"/>
      <c r="E5" s="254"/>
      <c r="F5" s="254"/>
      <c r="G5" s="162" t="s">
        <v>165</v>
      </c>
      <c r="H5" s="162" t="s">
        <v>225</v>
      </c>
      <c r="I5" s="162" t="s">
        <v>226</v>
      </c>
      <c r="J5" s="162" t="s">
        <v>227</v>
      </c>
      <c r="K5" s="162" t="s">
        <v>228</v>
      </c>
      <c r="L5" s="162" t="s">
        <v>229</v>
      </c>
      <c r="M5" s="8"/>
      <c r="N5" s="8"/>
      <c r="O5" s="8"/>
      <c r="P5" s="8"/>
      <c r="Q5" s="8"/>
      <c r="R5" s="8"/>
      <c r="S5" s="8"/>
    </row>
    <row r="6" spans="1:20" ht="26.4" thickBot="1" x14ac:dyDescent="0.35">
      <c r="A6" s="8"/>
      <c r="B6" s="163"/>
      <c r="C6" s="255"/>
      <c r="D6" s="255"/>
      <c r="E6" s="255"/>
      <c r="F6" s="255"/>
      <c r="G6" s="164"/>
      <c r="H6" s="165">
        <v>0.30009999999999998</v>
      </c>
      <c r="I6" s="165">
        <v>0.10009999999999999</v>
      </c>
      <c r="J6" s="166">
        <v>0</v>
      </c>
      <c r="K6" s="167">
        <v>0.10009999999999999</v>
      </c>
      <c r="L6" s="167">
        <v>0.30009999999999998</v>
      </c>
      <c r="M6" s="8"/>
      <c r="N6" s="8"/>
      <c r="O6" s="8"/>
      <c r="P6" s="8"/>
      <c r="Q6" s="8"/>
      <c r="R6" s="8"/>
      <c r="S6" s="8"/>
    </row>
    <row r="7" spans="1:20" x14ac:dyDescent="0.3">
      <c r="A7" s="8"/>
      <c r="B7" s="245" t="s">
        <v>239</v>
      </c>
      <c r="C7" s="243" t="s">
        <v>230</v>
      </c>
      <c r="D7" s="251" t="s">
        <v>231</v>
      </c>
      <c r="E7" s="247">
        <f>('%BP'!C9-'%BP'!C13)/'%BP'!E9</f>
        <v>0.47217278010146962</v>
      </c>
      <c r="F7" s="247">
        <v>0.35</v>
      </c>
      <c r="G7" s="249">
        <f>(E7/F7)-1</f>
        <v>0.34906508600419905</v>
      </c>
      <c r="H7" s="243"/>
      <c r="I7" s="243"/>
      <c r="J7" s="243"/>
      <c r="K7" s="243"/>
      <c r="L7" s="243"/>
      <c r="M7" s="8"/>
      <c r="N7" s="8"/>
      <c r="O7" s="8"/>
      <c r="P7" s="8"/>
      <c r="Q7" s="8"/>
      <c r="R7" s="8"/>
      <c r="S7" s="8"/>
    </row>
    <row r="8" spans="1:20" ht="147.75" customHeight="1" thickBot="1" x14ac:dyDescent="0.35">
      <c r="A8" s="8"/>
      <c r="B8" s="246"/>
      <c r="C8" s="244"/>
      <c r="D8" s="252"/>
      <c r="E8" s="248"/>
      <c r="F8" s="248"/>
      <c r="G8" s="250"/>
      <c r="H8" s="244"/>
      <c r="I8" s="244"/>
      <c r="J8" s="244"/>
      <c r="K8" s="244"/>
      <c r="L8" s="244"/>
      <c r="M8" s="8"/>
      <c r="N8" s="8"/>
      <c r="O8" s="8"/>
      <c r="P8" s="8"/>
      <c r="Q8" s="8"/>
      <c r="R8" s="8"/>
      <c r="S8" s="8"/>
    </row>
    <row r="9" spans="1:20" ht="162" customHeight="1" x14ac:dyDescent="0.3">
      <c r="A9" s="8"/>
      <c r="B9" s="245" t="s">
        <v>237</v>
      </c>
      <c r="C9" s="243" t="s">
        <v>232</v>
      </c>
      <c r="D9" s="251" t="s">
        <v>233</v>
      </c>
      <c r="E9" s="247">
        <f>'%BP'!C9/'%BP'!E9</f>
        <v>0.86782707236253953</v>
      </c>
      <c r="F9" s="247">
        <v>1.02</v>
      </c>
      <c r="G9" s="249">
        <f t="shared" ref="G9" si="0">(E9/F9)-1</f>
        <v>-0.14918914474260836</v>
      </c>
      <c r="H9" s="243"/>
      <c r="I9" s="243"/>
      <c r="J9" s="243"/>
      <c r="K9" s="243"/>
      <c r="L9" s="243"/>
      <c r="M9" s="8"/>
      <c r="N9" s="8"/>
      <c r="O9" s="8"/>
      <c r="P9" s="8"/>
      <c r="Q9" s="8"/>
      <c r="R9" s="8"/>
      <c r="S9" s="8"/>
    </row>
    <row r="10" spans="1:20" ht="15.75" customHeight="1" thickBot="1" x14ac:dyDescent="0.35">
      <c r="A10" s="8"/>
      <c r="B10" s="246"/>
      <c r="C10" s="244"/>
      <c r="D10" s="252"/>
      <c r="E10" s="248"/>
      <c r="F10" s="248"/>
      <c r="G10" s="250"/>
      <c r="H10" s="244"/>
      <c r="I10" s="244"/>
      <c r="J10" s="244"/>
      <c r="K10" s="244"/>
      <c r="L10" s="244"/>
      <c r="M10" s="8"/>
      <c r="N10" s="8"/>
      <c r="O10" s="8"/>
      <c r="P10" s="8"/>
      <c r="Q10" s="8"/>
      <c r="R10" s="8"/>
      <c r="S10" s="8"/>
    </row>
    <row r="11" spans="1:20" ht="150.75" customHeight="1" x14ac:dyDescent="0.3">
      <c r="A11" s="8"/>
      <c r="B11" s="245" t="s">
        <v>238</v>
      </c>
      <c r="C11" s="243" t="s">
        <v>234</v>
      </c>
      <c r="D11" s="170" t="s">
        <v>235</v>
      </c>
      <c r="E11" s="247">
        <f>('%BP'!J9+'%BP'!J16)/('%BP'!L9+'%BP'!L16)</f>
        <v>0.4940110219880392</v>
      </c>
      <c r="F11" s="247">
        <v>0.44</v>
      </c>
      <c r="G11" s="249">
        <f t="shared" ref="G11" si="1">(E11/F11)-1</f>
        <v>0.12275232270008907</v>
      </c>
      <c r="H11" s="243"/>
      <c r="I11" s="243"/>
      <c r="J11" s="243"/>
      <c r="K11" s="243"/>
      <c r="L11" s="243"/>
      <c r="M11" s="8"/>
      <c r="N11" s="8"/>
      <c r="O11" s="8"/>
      <c r="P11" s="8"/>
      <c r="Q11" s="8"/>
      <c r="R11" s="8"/>
      <c r="S11" s="8"/>
    </row>
    <row r="12" spans="1:20" ht="25.2" thickBot="1" x14ac:dyDescent="0.35">
      <c r="A12" s="8"/>
      <c r="B12" s="246"/>
      <c r="C12" s="244"/>
      <c r="D12" s="171" t="s">
        <v>236</v>
      </c>
      <c r="E12" s="248"/>
      <c r="F12" s="248"/>
      <c r="G12" s="250"/>
      <c r="H12" s="244"/>
      <c r="I12" s="244"/>
      <c r="J12" s="244"/>
      <c r="K12" s="244"/>
      <c r="L12" s="244"/>
      <c r="M12" s="8"/>
      <c r="N12" s="8"/>
      <c r="O12" s="8"/>
      <c r="P12" s="8"/>
      <c r="Q12" s="8"/>
      <c r="R12" s="8"/>
      <c r="S12" s="8"/>
    </row>
    <row r="13" spans="1:20" x14ac:dyDescent="0.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 spans="1:20" x14ac:dyDescent="0.3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 spans="1:20" x14ac:dyDescent="0.3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 spans="1:20" x14ac:dyDescent="0.3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spans="1:19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spans="1:19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spans="1:19" x14ac:dyDescent="0.3">
      <c r="A19" s="8"/>
      <c r="B19" s="8"/>
    </row>
    <row r="20" spans="1:19" x14ac:dyDescent="0.3">
      <c r="A20" s="8"/>
    </row>
    <row r="21" spans="1:19" x14ac:dyDescent="0.3">
      <c r="A21" s="8"/>
    </row>
    <row r="22" spans="1:19" x14ac:dyDescent="0.3">
      <c r="A22" s="8"/>
    </row>
    <row r="23" spans="1:19" x14ac:dyDescent="0.3">
      <c r="A23" s="8"/>
    </row>
    <row r="24" spans="1:19" x14ac:dyDescent="0.3">
      <c r="A24" s="8"/>
    </row>
    <row r="25" spans="1:19" x14ac:dyDescent="0.3">
      <c r="A25" s="8"/>
    </row>
  </sheetData>
  <mergeCells count="37">
    <mergeCell ref="C4:C6"/>
    <mergeCell ref="D4:D6"/>
    <mergeCell ref="E4:E6"/>
    <mergeCell ref="F4:F6"/>
    <mergeCell ref="H4:L4"/>
    <mergeCell ref="L7:L8"/>
    <mergeCell ref="C9:C10"/>
    <mergeCell ref="D9:D10"/>
    <mergeCell ref="E9:E10"/>
    <mergeCell ref="F9:F10"/>
    <mergeCell ref="G9:G10"/>
    <mergeCell ref="C7:C8"/>
    <mergeCell ref="D7:D8"/>
    <mergeCell ref="E7:E8"/>
    <mergeCell ref="F7:F8"/>
    <mergeCell ref="G7:G8"/>
    <mergeCell ref="H11:H12"/>
    <mergeCell ref="H7:H8"/>
    <mergeCell ref="I7:I8"/>
    <mergeCell ref="J7:J8"/>
    <mergeCell ref="K7:K8"/>
    <mergeCell ref="I11:I12"/>
    <mergeCell ref="J11:J12"/>
    <mergeCell ref="K11:K12"/>
    <mergeCell ref="L11:L12"/>
    <mergeCell ref="B7:B8"/>
    <mergeCell ref="B9:B10"/>
    <mergeCell ref="B11:B12"/>
    <mergeCell ref="H9:H10"/>
    <mergeCell ref="I9:I10"/>
    <mergeCell ref="J9:J10"/>
    <mergeCell ref="K9:K10"/>
    <mergeCell ref="L9:L10"/>
    <mergeCell ref="C11:C12"/>
    <mergeCell ref="E11:E12"/>
    <mergeCell ref="F11:F12"/>
    <mergeCell ref="G11:G12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B12BD-6E50-4DF8-B735-E3FC7E362113}">
  <dimension ref="A1:AF34"/>
  <sheetViews>
    <sheetView zoomScale="70" zoomScaleNormal="70" workbookViewId="0">
      <selection activeCell="F11" sqref="F11:F13"/>
    </sheetView>
  </sheetViews>
  <sheetFormatPr defaultRowHeight="14.4" x14ac:dyDescent="0.3"/>
  <cols>
    <col min="2" max="2" width="39.33203125" customWidth="1"/>
    <col min="3" max="3" width="51.6640625" customWidth="1"/>
    <col min="4" max="4" width="49.5546875" customWidth="1"/>
    <col min="5" max="5" width="23" customWidth="1"/>
    <col min="6" max="6" width="24.88671875" customWidth="1"/>
    <col min="7" max="7" width="30" customWidth="1"/>
    <col min="8" max="8" width="28.6640625" customWidth="1"/>
    <col min="9" max="9" width="27.6640625" customWidth="1"/>
    <col min="10" max="10" width="26.88671875" customWidth="1"/>
    <col min="11" max="11" width="26.33203125" customWidth="1"/>
    <col min="12" max="12" width="25.33203125" customWidth="1"/>
  </cols>
  <sheetData>
    <row r="1" spans="1:32" x14ac:dyDescent="0.3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</row>
    <row r="2" spans="1:32" ht="15" thickBot="1" x14ac:dyDescent="0.3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spans="1:32" ht="49.8" thickBot="1" x14ac:dyDescent="0.35">
      <c r="A3" s="8"/>
      <c r="B3" s="159" t="s">
        <v>240</v>
      </c>
      <c r="C3" s="253" t="s">
        <v>220</v>
      </c>
      <c r="D3" s="253" t="s">
        <v>221</v>
      </c>
      <c r="E3" s="253">
        <v>2024</v>
      </c>
      <c r="F3" s="253" t="s">
        <v>222</v>
      </c>
      <c r="G3" s="160" t="s">
        <v>223</v>
      </c>
      <c r="H3" s="256" t="s">
        <v>224</v>
      </c>
      <c r="I3" s="257"/>
      <c r="J3" s="257"/>
      <c r="K3" s="257"/>
      <c r="L3" s="25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 spans="1:32" ht="24.6" x14ac:dyDescent="0.3">
      <c r="A4" s="8"/>
      <c r="B4" s="161" t="s">
        <v>219</v>
      </c>
      <c r="C4" s="254"/>
      <c r="D4" s="254"/>
      <c r="E4" s="254"/>
      <c r="F4" s="254"/>
      <c r="G4" s="162" t="s">
        <v>165</v>
      </c>
      <c r="H4" s="162" t="s">
        <v>225</v>
      </c>
      <c r="I4" s="162" t="s">
        <v>226</v>
      </c>
      <c r="J4" s="162" t="s">
        <v>227</v>
      </c>
      <c r="K4" s="162" t="s">
        <v>228</v>
      </c>
      <c r="L4" s="162" t="s">
        <v>229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</row>
    <row r="5" spans="1:32" ht="26.4" thickBot="1" x14ac:dyDescent="0.35">
      <c r="A5" s="8"/>
      <c r="B5" s="163"/>
      <c r="C5" s="255"/>
      <c r="D5" s="255"/>
      <c r="E5" s="255"/>
      <c r="F5" s="255"/>
      <c r="G5" s="164"/>
      <c r="H5" s="165">
        <v>0.30009999999999998</v>
      </c>
      <c r="I5" s="165">
        <v>0.10009999999999999</v>
      </c>
      <c r="J5" s="166">
        <v>0</v>
      </c>
      <c r="K5" s="167">
        <v>0.10009999999999999</v>
      </c>
      <c r="L5" s="167">
        <v>0.30009999999999998</v>
      </c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 spans="1:32" ht="49.8" thickBot="1" x14ac:dyDescent="0.35">
      <c r="A6" s="8"/>
      <c r="B6" s="168" t="s">
        <v>241</v>
      </c>
      <c r="C6" s="172" t="s">
        <v>242</v>
      </c>
      <c r="D6" s="169" t="s">
        <v>243</v>
      </c>
      <c r="E6" s="175">
        <f>'% DRE'!C20/'%BP'!L23</f>
        <v>4.6317769677018977E-2</v>
      </c>
      <c r="F6" s="176">
        <v>7.0000000000000007E-2</v>
      </c>
      <c r="G6" s="174">
        <f>E6/F6-1</f>
        <v>-0.33831757604258605</v>
      </c>
      <c r="H6" s="172"/>
      <c r="I6" s="172"/>
      <c r="J6" s="172"/>
      <c r="K6" s="172"/>
      <c r="L6" s="172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 spans="1:32" ht="74.400000000000006" thickBot="1" x14ac:dyDescent="0.35">
      <c r="A7" s="8"/>
      <c r="B7" s="168" t="s">
        <v>244</v>
      </c>
      <c r="C7" s="172" t="s">
        <v>245</v>
      </c>
      <c r="D7" s="171" t="s">
        <v>246</v>
      </c>
      <c r="E7" s="175">
        <f>'% DRE'!C20/'%BP'!J28</f>
        <v>1.8473222490618186E-2</v>
      </c>
      <c r="F7" s="177">
        <v>3.5000000000000003E-2</v>
      </c>
      <c r="G7" s="174">
        <f>E7/F7-1</f>
        <v>-0.47219364312519474</v>
      </c>
      <c r="H7" s="172"/>
      <c r="I7" s="172"/>
      <c r="J7" s="172"/>
      <c r="K7" s="172"/>
      <c r="L7" s="172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 spans="1:32" ht="54" customHeight="1" x14ac:dyDescent="0.3">
      <c r="A8" s="8"/>
      <c r="B8" s="251" t="s">
        <v>170</v>
      </c>
      <c r="C8" s="243" t="s">
        <v>247</v>
      </c>
      <c r="D8" s="173" t="s">
        <v>248</v>
      </c>
      <c r="E8" s="261">
        <f>'% DRE'!C7/'% DRE'!C5</f>
        <v>0.4070252005167091</v>
      </c>
      <c r="F8" s="270">
        <v>0.35</v>
      </c>
      <c r="G8" s="267">
        <f t="shared" ref="G8:G14" si="0">E8/F8-1</f>
        <v>0.16292914433345462</v>
      </c>
      <c r="H8" s="243"/>
      <c r="I8" s="243"/>
      <c r="J8" s="243"/>
      <c r="K8" s="243"/>
      <c r="L8" s="243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 ht="26.25" customHeight="1" x14ac:dyDescent="0.3">
      <c r="A9" s="8"/>
      <c r="B9" s="260"/>
      <c r="C9" s="259"/>
      <c r="D9" s="170" t="s">
        <v>43</v>
      </c>
      <c r="E9" s="262"/>
      <c r="F9" s="271"/>
      <c r="G9" s="268"/>
      <c r="H9" s="259"/>
      <c r="I9" s="259"/>
      <c r="J9" s="259"/>
      <c r="K9" s="259"/>
      <c r="L9" s="259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</row>
    <row r="10" spans="1:32" ht="27" customHeight="1" thickBot="1" x14ac:dyDescent="0.35">
      <c r="A10" s="8"/>
      <c r="B10" s="252"/>
      <c r="C10" s="244"/>
      <c r="D10" s="171" t="s">
        <v>249</v>
      </c>
      <c r="E10" s="263"/>
      <c r="F10" s="272"/>
      <c r="G10" s="269"/>
      <c r="H10" s="244"/>
      <c r="I10" s="244"/>
      <c r="J10" s="244"/>
      <c r="K10" s="244"/>
      <c r="L10" s="244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</row>
    <row r="11" spans="1:32" ht="66.75" customHeight="1" x14ac:dyDescent="0.3">
      <c r="A11" s="8"/>
      <c r="B11" s="251" t="s">
        <v>250</v>
      </c>
      <c r="C11" s="243" t="s">
        <v>251</v>
      </c>
      <c r="D11" s="173" t="s">
        <v>252</v>
      </c>
      <c r="E11" s="261">
        <f>'% DRE'!C14/'% DRE'!C5</f>
        <v>0.11762202509104444</v>
      </c>
      <c r="F11" s="270">
        <v>0.11</v>
      </c>
      <c r="G11" s="267">
        <f t="shared" si="0"/>
        <v>6.929113719131319E-2</v>
      </c>
      <c r="H11" s="243"/>
      <c r="I11" s="243"/>
      <c r="J11" s="243"/>
      <c r="K11" s="243"/>
      <c r="L11" s="243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</row>
    <row r="12" spans="1:32" ht="26.25" customHeight="1" x14ac:dyDescent="0.3">
      <c r="A12" s="8"/>
      <c r="B12" s="260"/>
      <c r="C12" s="259"/>
      <c r="D12" s="170" t="s">
        <v>43</v>
      </c>
      <c r="E12" s="262"/>
      <c r="F12" s="271"/>
      <c r="G12" s="268"/>
      <c r="H12" s="259"/>
      <c r="I12" s="259"/>
      <c r="J12" s="259"/>
      <c r="K12" s="259"/>
      <c r="L12" s="259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</row>
    <row r="13" spans="1:32" ht="27" customHeight="1" thickBot="1" x14ac:dyDescent="0.35">
      <c r="A13" s="8"/>
      <c r="B13" s="252"/>
      <c r="C13" s="244"/>
      <c r="D13" s="169" t="s">
        <v>249</v>
      </c>
      <c r="E13" s="263"/>
      <c r="F13" s="272"/>
      <c r="G13" s="269"/>
      <c r="H13" s="244"/>
      <c r="I13" s="244"/>
      <c r="J13" s="244"/>
      <c r="K13" s="244"/>
      <c r="L13" s="244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</row>
    <row r="14" spans="1:32" ht="28.5" customHeight="1" x14ac:dyDescent="0.3">
      <c r="A14" s="8"/>
      <c r="B14" s="251" t="s">
        <v>182</v>
      </c>
      <c r="C14" s="243" t="s">
        <v>253</v>
      </c>
      <c r="D14" s="173" t="s">
        <v>254</v>
      </c>
      <c r="E14" s="261">
        <f>'% DRE'!C20/'% DRE'!C5</f>
        <v>7.2292066544544273E-2</v>
      </c>
      <c r="F14" s="264">
        <v>6.9500000000000006E-2</v>
      </c>
      <c r="G14" s="267">
        <f t="shared" si="0"/>
        <v>4.0173619345960754E-2</v>
      </c>
      <c r="H14" s="243"/>
      <c r="I14" s="243"/>
      <c r="J14" s="243"/>
      <c r="K14" s="243"/>
      <c r="L14" s="243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</row>
    <row r="15" spans="1:32" ht="26.25" customHeight="1" x14ac:dyDescent="0.3">
      <c r="A15" s="8"/>
      <c r="B15" s="260"/>
      <c r="C15" s="259"/>
      <c r="D15" s="170" t="s">
        <v>43</v>
      </c>
      <c r="E15" s="262"/>
      <c r="F15" s="265"/>
      <c r="G15" s="268"/>
      <c r="H15" s="259"/>
      <c r="I15" s="259"/>
      <c r="J15" s="259"/>
      <c r="K15" s="259"/>
      <c r="L15" s="259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</row>
    <row r="16" spans="1:32" ht="27" customHeight="1" thickBot="1" x14ac:dyDescent="0.35">
      <c r="A16" s="8"/>
      <c r="B16" s="252"/>
      <c r="C16" s="244"/>
      <c r="D16" s="171" t="s">
        <v>249</v>
      </c>
      <c r="E16" s="263"/>
      <c r="F16" s="266"/>
      <c r="G16" s="269"/>
      <c r="H16" s="244"/>
      <c r="I16" s="244"/>
      <c r="J16" s="244"/>
      <c r="K16" s="244"/>
      <c r="L16" s="244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</row>
    <row r="17" spans="1:32" x14ac:dyDescent="0.3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</row>
    <row r="18" spans="1:32" x14ac:dyDescent="0.3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</row>
    <row r="19" spans="1:32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</row>
    <row r="20" spans="1:32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</row>
    <row r="21" spans="1:32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</row>
    <row r="22" spans="1:32" x14ac:dyDescent="0.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</row>
    <row r="23" spans="1:32" x14ac:dyDescent="0.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</row>
    <row r="24" spans="1:32" x14ac:dyDescent="0.3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</row>
    <row r="25" spans="1:32" x14ac:dyDescent="0.3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</row>
    <row r="26" spans="1:32" x14ac:dyDescent="0.3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</row>
    <row r="27" spans="1:32" x14ac:dyDescent="0.3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</row>
    <row r="28" spans="1:32" x14ac:dyDescent="0.3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</row>
    <row r="29" spans="1:32" x14ac:dyDescent="0.3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</row>
    <row r="30" spans="1:32" x14ac:dyDescent="0.3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</row>
    <row r="31" spans="1:32" x14ac:dyDescent="0.3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</row>
    <row r="32" spans="1:32" x14ac:dyDescent="0.3">
      <c r="A32" s="8"/>
    </row>
    <row r="33" spans="1:1" x14ac:dyDescent="0.3">
      <c r="A33" s="8"/>
    </row>
    <row r="34" spans="1:1" x14ac:dyDescent="0.3">
      <c r="A34" s="8"/>
    </row>
  </sheetData>
  <mergeCells count="35">
    <mergeCell ref="B8:B10"/>
    <mergeCell ref="C8:C10"/>
    <mergeCell ref="E8:E10"/>
    <mergeCell ref="F8:F10"/>
    <mergeCell ref="G8:G10"/>
    <mergeCell ref="C3:C5"/>
    <mergeCell ref="D3:D5"/>
    <mergeCell ref="E3:E5"/>
    <mergeCell ref="F3:F5"/>
    <mergeCell ref="H3:L3"/>
    <mergeCell ref="B11:B13"/>
    <mergeCell ref="C11:C13"/>
    <mergeCell ref="E11:E13"/>
    <mergeCell ref="F11:F13"/>
    <mergeCell ref="G11:G13"/>
    <mergeCell ref="H8:H10"/>
    <mergeCell ref="I8:I10"/>
    <mergeCell ref="J8:J10"/>
    <mergeCell ref="K8:K10"/>
    <mergeCell ref="L8:L10"/>
    <mergeCell ref="B14:B16"/>
    <mergeCell ref="C14:C16"/>
    <mergeCell ref="E14:E16"/>
    <mergeCell ref="F14:F16"/>
    <mergeCell ref="G14:G16"/>
    <mergeCell ref="H11:H13"/>
    <mergeCell ref="I11:I13"/>
    <mergeCell ref="J11:J13"/>
    <mergeCell ref="K11:K13"/>
    <mergeCell ref="L11:L13"/>
    <mergeCell ref="H14:H16"/>
    <mergeCell ref="I14:I16"/>
    <mergeCell ref="J14:J16"/>
    <mergeCell ref="K14:K16"/>
    <mergeCell ref="L14:L1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07522-CE05-4C0C-BEA0-0E71D4AD651F}">
  <dimension ref="A1:L32"/>
  <sheetViews>
    <sheetView zoomScale="70" zoomScaleNormal="70" workbookViewId="0">
      <selection activeCell="E14" sqref="E14"/>
    </sheetView>
  </sheetViews>
  <sheetFormatPr defaultRowHeight="14.4" x14ac:dyDescent="0.3"/>
  <cols>
    <col min="1" max="3" width="9.109375" style="8"/>
    <col min="4" max="4" width="1.44140625" customWidth="1"/>
    <col min="5" max="5" width="150.109375" customWidth="1"/>
    <col min="6" max="6" width="30.6640625" customWidth="1"/>
    <col min="7" max="7" width="19.33203125" bestFit="1" customWidth="1"/>
    <col min="8" max="11" width="9.109375" style="8"/>
  </cols>
  <sheetData>
    <row r="1" spans="4:7" x14ac:dyDescent="0.3">
      <c r="D1" s="8"/>
      <c r="E1" s="8"/>
      <c r="F1" s="8"/>
      <c r="G1" s="8"/>
    </row>
    <row r="2" spans="4:7" x14ac:dyDescent="0.3">
      <c r="D2" s="8"/>
      <c r="E2" s="8"/>
      <c r="F2" s="8"/>
      <c r="G2" s="8"/>
    </row>
    <row r="3" spans="4:7" x14ac:dyDescent="0.3">
      <c r="D3" s="8"/>
      <c r="E3" s="8"/>
      <c r="F3" s="8"/>
      <c r="G3" s="8"/>
    </row>
    <row r="4" spans="4:7" ht="30" x14ac:dyDescent="0.5">
      <c r="E4" s="178" t="s">
        <v>256</v>
      </c>
      <c r="F4" s="179">
        <v>745103</v>
      </c>
      <c r="G4" s="181">
        <v>0.33989999999999998</v>
      </c>
    </row>
    <row r="5" spans="4:7" ht="30" x14ac:dyDescent="0.5">
      <c r="E5" s="185" t="s">
        <v>255</v>
      </c>
      <c r="F5" s="186">
        <v>-504828</v>
      </c>
      <c r="G5" s="187">
        <v>-0.2303</v>
      </c>
    </row>
    <row r="6" spans="4:7" ht="30" x14ac:dyDescent="0.5">
      <c r="E6" s="178" t="s">
        <v>257</v>
      </c>
      <c r="F6" s="180">
        <f>SUM(F4:F5)</f>
        <v>240275</v>
      </c>
      <c r="G6" s="181">
        <f>SUM(G4:G5)</f>
        <v>0.10959999999999998</v>
      </c>
    </row>
    <row r="7" spans="4:7" ht="31.2" x14ac:dyDescent="0.6">
      <c r="D7" s="8"/>
      <c r="E7" s="188"/>
      <c r="F7" s="189"/>
      <c r="G7" s="8"/>
    </row>
    <row r="8" spans="4:7" x14ac:dyDescent="0.3">
      <c r="D8" s="8"/>
      <c r="E8" s="8"/>
      <c r="F8" s="8"/>
      <c r="G8" s="8"/>
    </row>
    <row r="9" spans="4:7" x14ac:dyDescent="0.3">
      <c r="D9" s="8"/>
      <c r="E9" s="8"/>
      <c r="F9" s="8"/>
      <c r="G9" s="8"/>
    </row>
    <row r="10" spans="4:7" ht="30" x14ac:dyDescent="0.5">
      <c r="E10" s="178" t="s">
        <v>258</v>
      </c>
      <c r="F10" s="179">
        <v>745103</v>
      </c>
      <c r="G10" s="181">
        <v>0.33989999999999998</v>
      </c>
    </row>
    <row r="11" spans="4:7" ht="30" x14ac:dyDescent="0.5">
      <c r="E11" s="182" t="s">
        <v>255</v>
      </c>
      <c r="F11" s="183">
        <v>0</v>
      </c>
      <c r="G11" s="184">
        <v>0</v>
      </c>
    </row>
    <row r="12" spans="4:7" ht="30" x14ac:dyDescent="0.5">
      <c r="E12" s="178" t="s">
        <v>257</v>
      </c>
      <c r="F12" s="180">
        <f>SUM(F10:F11)</f>
        <v>745103</v>
      </c>
      <c r="G12" s="181">
        <f>SUM(G10:G11)</f>
        <v>0.33989999999999998</v>
      </c>
    </row>
    <row r="13" spans="4:7" x14ac:dyDescent="0.3">
      <c r="D13" s="8"/>
      <c r="E13" s="8"/>
      <c r="F13" s="8"/>
      <c r="G13" s="8"/>
    </row>
    <row r="14" spans="4:7" x14ac:dyDescent="0.3">
      <c r="D14" s="8"/>
      <c r="E14" s="8"/>
      <c r="F14" s="8"/>
      <c r="G14" s="8"/>
    </row>
    <row r="15" spans="4:7" x14ac:dyDescent="0.3">
      <c r="D15" s="8"/>
      <c r="E15" s="8"/>
      <c r="F15" s="8"/>
      <c r="G15" s="8"/>
    </row>
    <row r="16" spans="4:7" x14ac:dyDescent="0.3">
      <c r="D16" s="8"/>
      <c r="E16" s="8"/>
      <c r="F16" s="8"/>
      <c r="G16" s="8"/>
    </row>
    <row r="17" spans="4:12" ht="30" x14ac:dyDescent="0.5">
      <c r="E17" s="178" t="s">
        <v>256</v>
      </c>
      <c r="F17" s="195">
        <v>745103</v>
      </c>
      <c r="G17" s="194">
        <v>0.33989999999999998</v>
      </c>
    </row>
    <row r="18" spans="4:12" ht="30" x14ac:dyDescent="0.3">
      <c r="E18" s="190" t="s">
        <v>259</v>
      </c>
      <c r="F18" s="191"/>
      <c r="G18" s="8"/>
    </row>
    <row r="19" spans="4:12" ht="29.25" customHeight="1" x14ac:dyDescent="0.3">
      <c r="E19" s="190" t="s">
        <v>262</v>
      </c>
      <c r="F19" s="192">
        <v>30000</v>
      </c>
      <c r="G19" s="273">
        <v>1.8100000000000002E-2</v>
      </c>
    </row>
    <row r="20" spans="4:12" ht="38.25" customHeight="1" x14ac:dyDescent="0.3">
      <c r="E20" s="190" t="s">
        <v>261</v>
      </c>
      <c r="F20" s="192">
        <v>10000</v>
      </c>
      <c r="G20" s="273"/>
    </row>
    <row r="21" spans="4:12" ht="24.75" customHeight="1" x14ac:dyDescent="0.3">
      <c r="E21" s="190" t="s">
        <v>260</v>
      </c>
      <c r="F21" s="191">
        <v>0</v>
      </c>
      <c r="G21" s="8"/>
    </row>
    <row r="22" spans="4:12" ht="44.25" customHeight="1" x14ac:dyDescent="0.5">
      <c r="E22" s="178" t="s">
        <v>263</v>
      </c>
      <c r="F22" s="196">
        <f>SUM(F17:F21)</f>
        <v>785103</v>
      </c>
      <c r="G22" s="193">
        <f>SUM(G17:G20)</f>
        <v>0.35799999999999998</v>
      </c>
    </row>
    <row r="23" spans="4:12" x14ac:dyDescent="0.3">
      <c r="D23" s="8"/>
      <c r="E23" s="8"/>
      <c r="F23" s="8"/>
      <c r="G23" s="8"/>
      <c r="L23" s="8"/>
    </row>
    <row r="24" spans="4:12" x14ac:dyDescent="0.3">
      <c r="D24" s="8"/>
      <c r="E24" s="8"/>
      <c r="F24" s="8"/>
      <c r="G24" s="8"/>
      <c r="L24" s="8"/>
    </row>
    <row r="25" spans="4:12" x14ac:dyDescent="0.3">
      <c r="D25" s="8"/>
      <c r="E25" s="8"/>
      <c r="F25" s="8"/>
      <c r="G25" s="8"/>
      <c r="L25" s="8"/>
    </row>
    <row r="26" spans="4:12" x14ac:dyDescent="0.3">
      <c r="D26" s="8"/>
      <c r="E26" s="8"/>
      <c r="F26" s="8"/>
      <c r="G26" s="8"/>
      <c r="L26" s="8"/>
    </row>
    <row r="27" spans="4:12" x14ac:dyDescent="0.3">
      <c r="D27" s="8"/>
      <c r="E27" s="8"/>
      <c r="F27" s="8"/>
      <c r="G27" s="8"/>
      <c r="L27" s="8"/>
    </row>
    <row r="28" spans="4:12" x14ac:dyDescent="0.3">
      <c r="D28" s="8"/>
      <c r="E28" s="8"/>
      <c r="F28" s="8"/>
      <c r="G28" s="8"/>
      <c r="L28" s="8"/>
    </row>
    <row r="29" spans="4:12" x14ac:dyDescent="0.3">
      <c r="D29" s="8"/>
      <c r="E29" s="8"/>
      <c r="F29" s="8"/>
      <c r="G29" s="8"/>
      <c r="L29" s="8"/>
    </row>
    <row r="30" spans="4:12" x14ac:dyDescent="0.3">
      <c r="D30" s="8"/>
      <c r="E30" s="8"/>
      <c r="F30" s="8"/>
      <c r="G30" s="8"/>
      <c r="L30" s="8"/>
    </row>
    <row r="31" spans="4:12" x14ac:dyDescent="0.3">
      <c r="D31" s="8"/>
      <c r="E31" s="8"/>
      <c r="F31" s="8"/>
      <c r="G31" s="8"/>
      <c r="L31" s="8"/>
    </row>
    <row r="32" spans="4:12" x14ac:dyDescent="0.3">
      <c r="D32" s="8"/>
      <c r="E32" s="8"/>
      <c r="F32" s="8"/>
      <c r="G32" s="8"/>
      <c r="L32" s="8"/>
    </row>
  </sheetData>
  <mergeCells count="1">
    <mergeCell ref="G19:G2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Copetência e Caixa</vt:lpstr>
      <vt:lpstr>DRE e DFC</vt:lpstr>
      <vt:lpstr>Estrutura da DRE</vt:lpstr>
      <vt:lpstr>Estrutura do Fluxo de Caixa </vt:lpstr>
      <vt:lpstr>PEq</vt:lpstr>
      <vt:lpstr>%BP</vt:lpstr>
      <vt:lpstr>% DRE</vt:lpstr>
      <vt:lpstr>Liquidez</vt:lpstr>
      <vt:lpstr>Rentabilidade</vt:lpstr>
      <vt:lpstr>EBTIDA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Waldir Jorge Ladeira dos Santos</dc:creator>
  <cp:lastModifiedBy>Waldir Jorge Ladeira dos Santos</cp:lastModifiedBy>
  <dcterms:created xsi:type="dcterms:W3CDTF">2024-07-05T12:19:17Z</dcterms:created>
  <dcterms:modified xsi:type="dcterms:W3CDTF">2025-08-18T11:39:52Z</dcterms:modified>
</cp:coreProperties>
</file>