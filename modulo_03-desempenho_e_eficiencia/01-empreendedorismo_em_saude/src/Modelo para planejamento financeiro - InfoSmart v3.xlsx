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eu Drive\FGV 2026\MBA Saude 2026\Empreendedorismo Modular\T1 Modular\Segundo Encontro\"/>
    </mc:Choice>
  </mc:AlternateContent>
  <xr:revisionPtr revIDLastSave="0" documentId="13_ncr:1_{A2D93721-7813-41BF-B6ED-DC79BFA56E51}" xr6:coauthVersionLast="47" xr6:coauthVersionMax="47" xr10:uidLastSave="{00000000-0000-0000-0000-000000000000}"/>
  <bookViews>
    <workbookView xWindow="-108" yWindow="-108" windowWidth="23256" windowHeight="12456" tabRatio="693" firstSheet="1" activeTab="6" xr2:uid="{00000000-000D-0000-FFFF-FFFF00000000}"/>
  </bookViews>
  <sheets>
    <sheet name="InformacoesBasicas" sheetId="1" r:id="rId1"/>
    <sheet name="Entrada de $" sheetId="2" r:id="rId2"/>
    <sheet name="Custo Unitário" sheetId="3" r:id="rId3"/>
    <sheet name="Calculo de Custo" sheetId="4" r:id="rId4"/>
    <sheet name="Saídas de $" sheetId="5" r:id="rId5"/>
    <sheet name="Para exercitar" sheetId="6" r:id="rId6"/>
    <sheet name="Resumo-Planejamento Financeir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bVFWWTht+xk2vAbYvrdNSFzqOMrn126PduEptGN5wWo="/>
    </ext>
  </extLst>
</workbook>
</file>

<file path=xl/calcChain.xml><?xml version="1.0" encoding="utf-8"?>
<calcChain xmlns="http://schemas.openxmlformats.org/spreadsheetml/2006/main">
  <c r="B56" i="7" l="1"/>
  <c r="F18" i="7"/>
  <c r="E18" i="7"/>
  <c r="D18" i="7"/>
  <c r="C18" i="7"/>
  <c r="B18" i="7"/>
  <c r="L19" i="5"/>
  <c r="L5" i="5" s="1"/>
  <c r="K19" i="5"/>
  <c r="K5" i="5" s="1"/>
  <c r="C11" i="5"/>
  <c r="B8" i="5"/>
  <c r="B8" i="4"/>
  <c r="H8" i="4" s="1"/>
  <c r="A4" i="3"/>
  <c r="A22" i="3"/>
  <c r="A20" i="3"/>
  <c r="A18" i="3"/>
  <c r="A16" i="3"/>
  <c r="A14" i="3"/>
  <c r="A12" i="3"/>
  <c r="A10" i="3"/>
  <c r="A8" i="3"/>
  <c r="A6" i="3"/>
  <c r="N17" i="2"/>
  <c r="B44" i="4"/>
  <c r="K44" i="4" s="1"/>
  <c r="B40" i="4"/>
  <c r="I40" i="4" s="1"/>
  <c r="B36" i="4"/>
  <c r="B32" i="4"/>
  <c r="B28" i="4"/>
  <c r="C28" i="4" s="1"/>
  <c r="B24" i="4"/>
  <c r="G24" i="4" s="1"/>
  <c r="B20" i="4"/>
  <c r="L20" i="4" s="1"/>
  <c r="B16" i="4"/>
  <c r="G16" i="4" s="1"/>
  <c r="H14" i="6"/>
  <c r="D15" i="6"/>
  <c r="C15" i="6"/>
  <c r="D14" i="6"/>
  <c r="D13" i="6"/>
  <c r="D12" i="6"/>
  <c r="D11" i="6"/>
  <c r="D10" i="6"/>
  <c r="D9" i="6"/>
  <c r="D8" i="6"/>
  <c r="D7" i="6"/>
  <c r="P28" i="5"/>
  <c r="P27" i="5"/>
  <c r="P26" i="5"/>
  <c r="P25" i="5"/>
  <c r="P24" i="5"/>
  <c r="P23" i="5"/>
  <c r="P22" i="5"/>
  <c r="P21" i="5"/>
  <c r="P20" i="5"/>
  <c r="O19" i="5"/>
  <c r="O5" i="5" s="1"/>
  <c r="N19" i="5"/>
  <c r="N5" i="5" s="1"/>
  <c r="M19" i="5"/>
  <c r="M5" i="5" s="1"/>
  <c r="J19" i="5"/>
  <c r="J5" i="5" s="1"/>
  <c r="I19" i="5"/>
  <c r="I5" i="5" s="1"/>
  <c r="H19" i="5"/>
  <c r="H5" i="5" s="1"/>
  <c r="G19" i="5"/>
  <c r="G5" i="5" s="1"/>
  <c r="F19" i="5"/>
  <c r="F5" i="5" s="1"/>
  <c r="E19" i="5"/>
  <c r="E5" i="5" s="1"/>
  <c r="D19" i="5"/>
  <c r="D5" i="5" s="1"/>
  <c r="C12" i="5"/>
  <c r="C10" i="5"/>
  <c r="B5" i="5"/>
  <c r="M45" i="4"/>
  <c r="L45" i="4"/>
  <c r="K45" i="4"/>
  <c r="J45" i="4"/>
  <c r="I45" i="4"/>
  <c r="H45" i="4"/>
  <c r="G45" i="4"/>
  <c r="F45" i="4"/>
  <c r="E45" i="4"/>
  <c r="D45" i="4"/>
  <c r="C45" i="4"/>
  <c r="B45" i="4"/>
  <c r="A44" i="4"/>
  <c r="A43" i="4"/>
  <c r="M41" i="4"/>
  <c r="L41" i="4"/>
  <c r="K41" i="4"/>
  <c r="J41" i="4"/>
  <c r="I41" i="4"/>
  <c r="H41" i="4"/>
  <c r="G41" i="4"/>
  <c r="F41" i="4"/>
  <c r="E41" i="4"/>
  <c r="D41" i="4"/>
  <c r="C41" i="4"/>
  <c r="B41" i="4"/>
  <c r="A40" i="4"/>
  <c r="A39" i="4"/>
  <c r="M37" i="4"/>
  <c r="L37" i="4"/>
  <c r="K37" i="4"/>
  <c r="J37" i="4"/>
  <c r="I37" i="4"/>
  <c r="H37" i="4"/>
  <c r="G37" i="4"/>
  <c r="F37" i="4"/>
  <c r="E37" i="4"/>
  <c r="D37" i="4"/>
  <c r="C37" i="4"/>
  <c r="B37" i="4"/>
  <c r="A36" i="4"/>
  <c r="A35" i="4"/>
  <c r="M33" i="4"/>
  <c r="L33" i="4"/>
  <c r="K33" i="4"/>
  <c r="J33" i="4"/>
  <c r="I33" i="4"/>
  <c r="H33" i="4"/>
  <c r="G33" i="4"/>
  <c r="F33" i="4"/>
  <c r="E33" i="4"/>
  <c r="D33" i="4"/>
  <c r="C33" i="4"/>
  <c r="B33" i="4"/>
  <c r="A32" i="4"/>
  <c r="A31" i="4"/>
  <c r="M29" i="4"/>
  <c r="L29" i="4"/>
  <c r="K29" i="4"/>
  <c r="J29" i="4"/>
  <c r="I29" i="4"/>
  <c r="H29" i="4"/>
  <c r="G29" i="4"/>
  <c r="F29" i="4"/>
  <c r="E29" i="4"/>
  <c r="D29" i="4"/>
  <c r="C29" i="4"/>
  <c r="B29" i="4"/>
  <c r="J28" i="4"/>
  <c r="A28" i="4"/>
  <c r="A27" i="4"/>
  <c r="M25" i="4"/>
  <c r="L25" i="4"/>
  <c r="K25" i="4"/>
  <c r="J25" i="4"/>
  <c r="I25" i="4"/>
  <c r="H25" i="4"/>
  <c r="G25" i="4"/>
  <c r="F25" i="4"/>
  <c r="E25" i="4"/>
  <c r="D25" i="4"/>
  <c r="C25" i="4"/>
  <c r="B25" i="4"/>
  <c r="A24" i="4"/>
  <c r="A23" i="4"/>
  <c r="M21" i="4"/>
  <c r="L21" i="4"/>
  <c r="K21" i="4"/>
  <c r="J21" i="4"/>
  <c r="I21" i="4"/>
  <c r="H21" i="4"/>
  <c r="G21" i="4"/>
  <c r="F21" i="4"/>
  <c r="E21" i="4"/>
  <c r="D21" i="4"/>
  <c r="C21" i="4"/>
  <c r="B21" i="4"/>
  <c r="A20" i="4"/>
  <c r="A19" i="4"/>
  <c r="M17" i="4"/>
  <c r="L17" i="4"/>
  <c r="K17" i="4"/>
  <c r="J17" i="4"/>
  <c r="I17" i="4"/>
  <c r="H17" i="4"/>
  <c r="G17" i="4"/>
  <c r="F17" i="4"/>
  <c r="E17" i="4"/>
  <c r="D17" i="4"/>
  <c r="C17" i="4"/>
  <c r="B17" i="4"/>
  <c r="A16" i="4"/>
  <c r="A15" i="4"/>
  <c r="M13" i="4"/>
  <c r="L13" i="4"/>
  <c r="K13" i="4"/>
  <c r="J13" i="4"/>
  <c r="I13" i="4"/>
  <c r="H13" i="4"/>
  <c r="G13" i="4"/>
  <c r="F13" i="4"/>
  <c r="E13" i="4"/>
  <c r="D13" i="4"/>
  <c r="C13" i="4"/>
  <c r="B13" i="4"/>
  <c r="B12" i="4"/>
  <c r="G12" i="4" s="1"/>
  <c r="A12" i="4"/>
  <c r="A11" i="4"/>
  <c r="M9" i="4"/>
  <c r="L9" i="4"/>
  <c r="K9" i="4"/>
  <c r="J9" i="4"/>
  <c r="I9" i="4"/>
  <c r="H9" i="4"/>
  <c r="G9" i="4"/>
  <c r="F9" i="4"/>
  <c r="E9" i="4"/>
  <c r="D9" i="4"/>
  <c r="C9" i="4"/>
  <c r="B9" i="4"/>
  <c r="A8" i="4"/>
  <c r="A7" i="4"/>
  <c r="N45" i="2"/>
  <c r="A45" i="2"/>
  <c r="N44" i="2"/>
  <c r="M43" i="2"/>
  <c r="L43" i="2"/>
  <c r="K43" i="2"/>
  <c r="J43" i="2"/>
  <c r="I43" i="2"/>
  <c r="H43" i="2"/>
  <c r="G43" i="2"/>
  <c r="F43" i="2"/>
  <c r="E43" i="2"/>
  <c r="D43" i="2"/>
  <c r="C43" i="2"/>
  <c r="B43" i="2"/>
  <c r="A43" i="2"/>
  <c r="N41" i="2"/>
  <c r="A41" i="2"/>
  <c r="N40" i="2"/>
  <c r="M39" i="2"/>
  <c r="L39" i="2"/>
  <c r="K39" i="2"/>
  <c r="J39" i="2"/>
  <c r="I39" i="2"/>
  <c r="H39" i="2"/>
  <c r="G39" i="2"/>
  <c r="F39" i="2"/>
  <c r="E39" i="2"/>
  <c r="D39" i="2"/>
  <c r="C39" i="2"/>
  <c r="B39" i="2"/>
  <c r="A39" i="2"/>
  <c r="N37" i="2"/>
  <c r="A37" i="2"/>
  <c r="N36" i="2"/>
  <c r="M35" i="2"/>
  <c r="L35" i="2"/>
  <c r="K35" i="2"/>
  <c r="J35" i="2"/>
  <c r="I35" i="2"/>
  <c r="H35" i="2"/>
  <c r="G35" i="2"/>
  <c r="F35" i="2"/>
  <c r="E35" i="2"/>
  <c r="D35" i="2"/>
  <c r="C35" i="2"/>
  <c r="B35" i="2"/>
  <c r="A35" i="2"/>
  <c r="N33" i="2"/>
  <c r="A33" i="2"/>
  <c r="N32" i="2"/>
  <c r="M31" i="2"/>
  <c r="L31" i="2"/>
  <c r="K31" i="2"/>
  <c r="J31" i="2"/>
  <c r="I31" i="2"/>
  <c r="H31" i="2"/>
  <c r="G31" i="2"/>
  <c r="F31" i="2"/>
  <c r="E31" i="2"/>
  <c r="D31" i="2"/>
  <c r="C31" i="2"/>
  <c r="B31" i="2"/>
  <c r="A31" i="2"/>
  <c r="N29" i="2"/>
  <c r="A29" i="2"/>
  <c r="N28" i="2"/>
  <c r="M27" i="2"/>
  <c r="L27" i="2"/>
  <c r="K27" i="2"/>
  <c r="J27" i="2"/>
  <c r="I27" i="2"/>
  <c r="H27" i="2"/>
  <c r="G27" i="2"/>
  <c r="F27" i="2"/>
  <c r="E27" i="2"/>
  <c r="D27" i="2"/>
  <c r="C27" i="2"/>
  <c r="B27" i="2"/>
  <c r="A27" i="2"/>
  <c r="N25" i="2"/>
  <c r="A25" i="2"/>
  <c r="N24" i="2"/>
  <c r="M23" i="2"/>
  <c r="L23" i="2"/>
  <c r="K23" i="2"/>
  <c r="J23" i="2"/>
  <c r="I23" i="2"/>
  <c r="H23" i="2"/>
  <c r="G23" i="2"/>
  <c r="F23" i="2"/>
  <c r="E23" i="2"/>
  <c r="D23" i="2"/>
  <c r="C23" i="2"/>
  <c r="B23" i="2"/>
  <c r="A23" i="2"/>
  <c r="N21" i="2"/>
  <c r="A21" i="2"/>
  <c r="N20" i="2"/>
  <c r="M19" i="2"/>
  <c r="L19" i="2"/>
  <c r="K19" i="2"/>
  <c r="J19" i="2"/>
  <c r="I19" i="2"/>
  <c r="H19" i="2"/>
  <c r="G19" i="2"/>
  <c r="F19" i="2"/>
  <c r="E19" i="2"/>
  <c r="D19" i="2"/>
  <c r="C19" i="2"/>
  <c r="B19" i="2"/>
  <c r="A19" i="2"/>
  <c r="A17" i="2"/>
  <c r="N16" i="2"/>
  <c r="M15" i="2"/>
  <c r="L15" i="2"/>
  <c r="K15" i="2"/>
  <c r="J15" i="2"/>
  <c r="I15" i="2"/>
  <c r="H15" i="2"/>
  <c r="G15" i="2"/>
  <c r="F15" i="2"/>
  <c r="E15" i="2"/>
  <c r="D15" i="2"/>
  <c r="C15" i="2"/>
  <c r="B15" i="2"/>
  <c r="A15" i="2"/>
  <c r="N13" i="2"/>
  <c r="A13" i="2"/>
  <c r="N12" i="2"/>
  <c r="M11" i="2"/>
  <c r="L11" i="2"/>
  <c r="K11" i="2"/>
  <c r="J11" i="2"/>
  <c r="I11" i="2"/>
  <c r="H11" i="2"/>
  <c r="G11" i="2"/>
  <c r="F11" i="2"/>
  <c r="E11" i="2"/>
  <c r="D11" i="2"/>
  <c r="C11" i="2"/>
  <c r="B11" i="2"/>
  <c r="A11" i="2"/>
  <c r="N9" i="2"/>
  <c r="A9" i="2"/>
  <c r="N8" i="2"/>
  <c r="M7" i="2"/>
  <c r="L7" i="2"/>
  <c r="K7" i="2"/>
  <c r="J7" i="2"/>
  <c r="I7" i="2"/>
  <c r="H7" i="2"/>
  <c r="G7" i="2"/>
  <c r="F7" i="2"/>
  <c r="E7" i="2"/>
  <c r="D7" i="2"/>
  <c r="C7" i="2"/>
  <c r="B7" i="2"/>
  <c r="A7" i="2"/>
  <c r="A25" i="1"/>
  <c r="A24" i="1"/>
  <c r="A23" i="1"/>
  <c r="A22" i="1"/>
  <c r="A21" i="1"/>
  <c r="A20" i="1"/>
  <c r="A19" i="1"/>
  <c r="A18" i="1"/>
  <c r="A17" i="1"/>
  <c r="A16" i="1"/>
  <c r="A15" i="1"/>
  <c r="P19" i="5" l="1"/>
  <c r="B8" i="7" s="1"/>
  <c r="C8" i="7" s="1"/>
  <c r="D8" i="7" s="1"/>
  <c r="E8" i="7" s="1"/>
  <c r="F8" i="7" s="1"/>
  <c r="J27" i="4"/>
  <c r="I39" i="4"/>
  <c r="M24" i="4"/>
  <c r="B23" i="4"/>
  <c r="L24" i="4"/>
  <c r="L23" i="4" s="1"/>
  <c r="C20" i="4"/>
  <c r="C19" i="4" s="1"/>
  <c r="D20" i="4"/>
  <c r="M20" i="4"/>
  <c r="M19" i="4" s="1"/>
  <c r="B19" i="4"/>
  <c r="J20" i="4"/>
  <c r="J19" i="4" s="1"/>
  <c r="C44" i="4"/>
  <c r="C43" i="4" s="1"/>
  <c r="I44" i="4"/>
  <c r="I43" i="4" s="1"/>
  <c r="H44" i="4"/>
  <c r="H40" i="4"/>
  <c r="H39" i="4" s="1"/>
  <c r="B39" i="4"/>
  <c r="C24" i="4"/>
  <c r="C23" i="4" s="1"/>
  <c r="D24" i="4"/>
  <c r="D23" i="4" s="1"/>
  <c r="H24" i="4"/>
  <c r="H23" i="4" s="1"/>
  <c r="J24" i="4"/>
  <c r="J23" i="4" s="1"/>
  <c r="K24" i="4"/>
  <c r="K23" i="4" s="1"/>
  <c r="H43" i="4"/>
  <c r="K43" i="4"/>
  <c r="N43" i="2"/>
  <c r="N45" i="4"/>
  <c r="N39" i="2"/>
  <c r="N41" i="4"/>
  <c r="L5" i="2"/>
  <c r="N35" i="2"/>
  <c r="N37" i="4"/>
  <c r="N31" i="2"/>
  <c r="N33" i="4"/>
  <c r="N29" i="4"/>
  <c r="C27" i="4"/>
  <c r="N27" i="2"/>
  <c r="K5" i="2"/>
  <c r="N25" i="4"/>
  <c r="G23" i="4"/>
  <c r="H5" i="2"/>
  <c r="I5" i="2"/>
  <c r="G5" i="2"/>
  <c r="J5" i="2"/>
  <c r="M5" i="2"/>
  <c r="C5" i="2"/>
  <c r="D5" i="2"/>
  <c r="E5" i="2"/>
  <c r="F5" i="2"/>
  <c r="N23" i="2"/>
  <c r="B5" i="2"/>
  <c r="M44" i="4"/>
  <c r="M43" i="4" s="1"/>
  <c r="G44" i="4"/>
  <c r="G43" i="4" s="1"/>
  <c r="D40" i="4"/>
  <c r="D39" i="4" s="1"/>
  <c r="L40" i="4"/>
  <c r="L39" i="4" s="1"/>
  <c r="I36" i="4"/>
  <c r="I35" i="4" s="1"/>
  <c r="L32" i="4"/>
  <c r="L31" i="4" s="1"/>
  <c r="D32" i="4"/>
  <c r="D31" i="4" s="1"/>
  <c r="B31" i="4"/>
  <c r="C32" i="4"/>
  <c r="C31" i="4" s="1"/>
  <c r="E32" i="4"/>
  <c r="E31" i="4" s="1"/>
  <c r="F32" i="4"/>
  <c r="F31" i="4" s="1"/>
  <c r="K32" i="4"/>
  <c r="K31" i="4" s="1"/>
  <c r="M32" i="4"/>
  <c r="M31" i="4" s="1"/>
  <c r="J32" i="4"/>
  <c r="J31" i="4" s="1"/>
  <c r="F28" i="4"/>
  <c r="F27" i="4" s="1"/>
  <c r="G28" i="4"/>
  <c r="G27" i="4" s="1"/>
  <c r="M28" i="4"/>
  <c r="M27" i="4" s="1"/>
  <c r="D28" i="4"/>
  <c r="D27" i="4" s="1"/>
  <c r="K28" i="4"/>
  <c r="K27" i="4" s="1"/>
  <c r="B27" i="4"/>
  <c r="E28" i="4"/>
  <c r="E27" i="4" s="1"/>
  <c r="D19" i="4"/>
  <c r="L8" i="4"/>
  <c r="L7" i="4" s="1"/>
  <c r="I8" i="4"/>
  <c r="I7" i="4" s="1"/>
  <c r="L28" i="4"/>
  <c r="L27" i="4" s="1"/>
  <c r="E24" i="4"/>
  <c r="E23" i="4" s="1"/>
  <c r="F24" i="4"/>
  <c r="F23" i="4" s="1"/>
  <c r="G20" i="4"/>
  <c r="G19" i="4" s="1"/>
  <c r="H20" i="4"/>
  <c r="H19" i="4" s="1"/>
  <c r="I20" i="4"/>
  <c r="I19" i="4" s="1"/>
  <c r="E20" i="4"/>
  <c r="F20" i="4"/>
  <c r="F19" i="4" s="1"/>
  <c r="K20" i="4"/>
  <c r="K19" i="4"/>
  <c r="L19" i="4"/>
  <c r="K12" i="4"/>
  <c r="K11" i="4" s="1"/>
  <c r="C12" i="4"/>
  <c r="H12" i="4"/>
  <c r="H11" i="4" s="1"/>
  <c r="B7" i="4"/>
  <c r="D8" i="4"/>
  <c r="D7" i="4" s="1"/>
  <c r="G15" i="4"/>
  <c r="M23" i="4"/>
  <c r="N13" i="4"/>
  <c r="G11" i="4"/>
  <c r="N11" i="2"/>
  <c r="H7" i="4"/>
  <c r="N9" i="4"/>
  <c r="N7" i="2"/>
  <c r="N17" i="4"/>
  <c r="N15" i="2"/>
  <c r="P5" i="5"/>
  <c r="J36" i="4"/>
  <c r="J35" i="4" s="1"/>
  <c r="N19" i="2"/>
  <c r="J8" i="4"/>
  <c r="J7" i="4" s="1"/>
  <c r="I12" i="4"/>
  <c r="I11" i="4" s="1"/>
  <c r="H16" i="4"/>
  <c r="H15" i="4" s="1"/>
  <c r="C36" i="4"/>
  <c r="C35" i="4" s="1"/>
  <c r="K36" i="4"/>
  <c r="K35" i="4" s="1"/>
  <c r="J40" i="4"/>
  <c r="J39" i="4" s="1"/>
  <c r="C8" i="4"/>
  <c r="K8" i="4"/>
  <c r="K7" i="4" s="1"/>
  <c r="J12" i="4"/>
  <c r="J11" i="4" s="1"/>
  <c r="I16" i="4"/>
  <c r="I15" i="4" s="1"/>
  <c r="B35" i="4"/>
  <c r="D36" i="4"/>
  <c r="D35" i="4" s="1"/>
  <c r="L36" i="4"/>
  <c r="L35" i="4" s="1"/>
  <c r="C40" i="4"/>
  <c r="C39" i="4" s="1"/>
  <c r="K40" i="4"/>
  <c r="K39" i="4" s="1"/>
  <c r="J44" i="4"/>
  <c r="J43" i="4" s="1"/>
  <c r="E8" i="4"/>
  <c r="E7" i="4" s="1"/>
  <c r="M8" i="4"/>
  <c r="M7" i="4" s="1"/>
  <c r="B11" i="4"/>
  <c r="D12" i="4"/>
  <c r="D11" i="4" s="1"/>
  <c r="L12" i="4"/>
  <c r="L11" i="4" s="1"/>
  <c r="C16" i="4"/>
  <c r="K16" i="4"/>
  <c r="K15" i="4" s="1"/>
  <c r="I24" i="4"/>
  <c r="I23" i="4" s="1"/>
  <c r="H28" i="4"/>
  <c r="H27" i="4" s="1"/>
  <c r="G32" i="4"/>
  <c r="G31" i="4" s="1"/>
  <c r="F36" i="4"/>
  <c r="F35" i="4" s="1"/>
  <c r="E40" i="4"/>
  <c r="E39" i="4" s="1"/>
  <c r="M40" i="4"/>
  <c r="M39" i="4" s="1"/>
  <c r="B43" i="4"/>
  <c r="D44" i="4"/>
  <c r="D43" i="4" s="1"/>
  <c r="L44" i="4"/>
  <c r="L43" i="4" s="1"/>
  <c r="F8" i="4"/>
  <c r="F7" i="4" s="1"/>
  <c r="E12" i="4"/>
  <c r="E11" i="4" s="1"/>
  <c r="M12" i="4"/>
  <c r="M11" i="4" s="1"/>
  <c r="B15" i="4"/>
  <c r="D16" i="4"/>
  <c r="D15" i="4" s="1"/>
  <c r="L16" i="4"/>
  <c r="L15" i="4" s="1"/>
  <c r="N21" i="4"/>
  <c r="I28" i="4"/>
  <c r="I27" i="4" s="1"/>
  <c r="H32" i="4"/>
  <c r="H31" i="4" s="1"/>
  <c r="G36" i="4"/>
  <c r="G35" i="4" s="1"/>
  <c r="F40" i="4"/>
  <c r="F39" i="4" s="1"/>
  <c r="E44" i="4"/>
  <c r="E43" i="4" s="1"/>
  <c r="J16" i="4"/>
  <c r="J15" i="4" s="1"/>
  <c r="M36" i="4"/>
  <c r="M35" i="4" s="1"/>
  <c r="G8" i="4"/>
  <c r="G7" i="4" s="1"/>
  <c r="F12" i="4"/>
  <c r="F11" i="4" s="1"/>
  <c r="E16" i="4"/>
  <c r="E15" i="4" s="1"/>
  <c r="M16" i="4"/>
  <c r="M15" i="4" s="1"/>
  <c r="I32" i="4"/>
  <c r="I31" i="4" s="1"/>
  <c r="H36" i="4"/>
  <c r="H35" i="4" s="1"/>
  <c r="G40" i="4"/>
  <c r="G39" i="4" s="1"/>
  <c r="F44" i="4"/>
  <c r="F43" i="4" s="1"/>
  <c r="E36" i="4"/>
  <c r="E35" i="4" s="1"/>
  <c r="F16" i="4"/>
  <c r="F15" i="4" s="1"/>
  <c r="N44" i="4" l="1"/>
  <c r="N40" i="4"/>
  <c r="N32" i="4"/>
  <c r="N28" i="4"/>
  <c r="N20" i="4"/>
  <c r="C11" i="4"/>
  <c r="N11" i="4" s="1"/>
  <c r="N12" i="4"/>
  <c r="N36" i="4"/>
  <c r="B5" i="4"/>
  <c r="N24" i="4"/>
  <c r="C15" i="4"/>
  <c r="N15" i="4" s="1"/>
  <c r="N16" i="4"/>
  <c r="K5" i="4"/>
  <c r="C7" i="4"/>
  <c r="N7" i="4" s="1"/>
  <c r="N8" i="4"/>
  <c r="N39" i="4"/>
  <c r="N31" i="4"/>
  <c r="N27" i="4"/>
  <c r="L5" i="4"/>
  <c r="H5" i="4"/>
  <c r="E19" i="4"/>
  <c r="E5" i="4" s="1"/>
  <c r="N19" i="4"/>
  <c r="N23" i="4"/>
  <c r="D5" i="4"/>
  <c r="I5" i="4"/>
  <c r="N5" i="2"/>
  <c r="B4" i="7" s="1"/>
  <c r="F5" i="4"/>
  <c r="M5" i="4"/>
  <c r="J5" i="4"/>
  <c r="N43" i="4"/>
  <c r="G5" i="4"/>
  <c r="N35" i="4"/>
  <c r="B5" i="7" l="1"/>
  <c r="B6" i="7" s="1"/>
  <c r="C4" i="7"/>
  <c r="D4" i="7" s="1"/>
  <c r="C5" i="4"/>
  <c r="B16" i="7"/>
  <c r="N5" i="4"/>
  <c r="B7" i="7" s="1"/>
  <c r="C7" i="7" s="1"/>
  <c r="D7" i="7" s="1"/>
  <c r="E7" i="7" s="1"/>
  <c r="F7" i="7" s="1"/>
  <c r="C5" i="7" l="1"/>
  <c r="C6" i="7" s="1"/>
  <c r="C9" i="7" s="1"/>
  <c r="C10" i="7" s="1"/>
  <c r="C11" i="7" s="1"/>
  <c r="D56" i="7" s="1"/>
  <c r="C16" i="7"/>
  <c r="B9" i="7"/>
  <c r="B10" i="7" s="1"/>
  <c r="B17" i="7" s="1"/>
  <c r="B19" i="7" s="1"/>
  <c r="D16" i="7"/>
  <c r="D5" i="7"/>
  <c r="D6" i="7" s="1"/>
  <c r="E4" i="7"/>
  <c r="C17" i="7" l="1"/>
  <c r="C19" i="7" s="1"/>
  <c r="B11" i="7"/>
  <c r="C56" i="7" s="1"/>
  <c r="E5" i="7"/>
  <c r="E16" i="7"/>
  <c r="F4" i="7"/>
  <c r="D9" i="7"/>
  <c r="E6" i="7" l="1"/>
  <c r="E9" i="7" s="1"/>
  <c r="E10" i="7" s="1"/>
  <c r="E11" i="7" s="1"/>
  <c r="F56" i="7" s="1"/>
  <c r="D10" i="7"/>
  <c r="D17" i="7" s="1"/>
  <c r="D19" i="7" s="1"/>
  <c r="F5" i="7"/>
  <c r="F16" i="7"/>
  <c r="F6" i="7" l="1"/>
  <c r="F9" i="7" s="1"/>
  <c r="F10" i="7" s="1"/>
  <c r="F11" i="7" s="1"/>
  <c r="G56" i="7" s="1"/>
  <c r="D11" i="7"/>
  <c r="E56" i="7" s="1"/>
  <c r="E17" i="7"/>
  <c r="E19" i="7" s="1"/>
  <c r="C23" i="7" l="1"/>
  <c r="F17" i="7"/>
  <c r="F1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000-000001000000}">
      <text>
        <r>
          <rPr>
            <sz val="10"/>
            <color rgb="FF000000"/>
            <rFont val="Arial"/>
            <scheme val="minor"/>
          </rPr>
          <t>Escreva o nome do seu empreendimento</t>
        </r>
      </text>
    </comment>
    <comment ref="A10" authorId="0" shapeId="0" xr:uid="{00000000-0006-0000-0000-000006000000}">
      <text>
        <r>
          <rPr>
            <sz val="10"/>
            <color rgb="FF000000"/>
            <rFont val="Arial"/>
            <scheme val="minor"/>
          </rPr>
          <t>Escolha o número que representa a PRINCIPAL ATIVIDADE do seu empreendimento</t>
        </r>
      </text>
    </comment>
    <comment ref="A15" authorId="0" shapeId="0" xr:uid="{00000000-0006-0000-0000-000003000000}">
      <text>
        <r>
          <rPr>
            <sz val="10"/>
            <color rgb="FF000000"/>
            <rFont val="Arial"/>
            <scheme val="minor"/>
          </rPr>
          <t>Escreva o nome dos produtos ou serviços que sua startup irá vender. Caso venda muitos itens, a recomendação é que você coloque categorias de produtos. Por exemplo, se estiver fazendo o planejamento financeiro para uma lanchonete, não coloque o nome de cada produto. Faça a opção por "Lanches", "Bebidas", "Petiscos". Caso tenha duas categorias de "Lanches" muito diferentes, então coloque algo como "Lanches Especiais" e "Lanches Básicos".</t>
        </r>
      </text>
    </comment>
    <comment ref="A28" authorId="0" shapeId="0" xr:uid="{00000000-0006-0000-0000-000004000000}">
      <text>
        <r>
          <rPr>
            <sz val="10"/>
            <color rgb="FF000000"/>
            <rFont val="Arial"/>
            <scheme val="minor"/>
          </rPr>
          <t>Faça uma estimativa de quanto você acredita que as vendas da sua startup crescerão do primeiro ano, para o segundo ano, e assim por diante.</t>
        </r>
      </text>
    </comment>
    <comment ref="A35" authorId="0" shapeId="0" xr:uid="{00000000-0006-0000-0000-000002000000}">
      <text>
        <r>
          <rPr>
            <sz val="10"/>
            <color rgb="FF000000"/>
            <rFont val="Arial"/>
            <scheme val="minor"/>
          </rPr>
          <t>======
ID#AAABE40Iciw
Considere que as despesas da sua empresa também crescerão. Nesta parte, faça uma estimativa dos reajustes que espera ter nas suas despesas.</t>
        </r>
      </text>
    </comment>
    <comment ref="A42" authorId="0" shapeId="0" xr:uid="{00000000-0006-0000-0000-000005000000}">
      <text>
        <r>
          <rPr>
            <sz val="10"/>
            <color rgb="FF000000"/>
            <rFont val="Arial"/>
            <scheme val="minor"/>
          </rPr>
          <t>Da mesma forma, os custos da sua startup também crescerão. Nesta parte, faça uma estimativa dos reajustes que espera ter nos custos</t>
        </r>
      </text>
    </comment>
  </commentList>
  <extLst>
    <ext xmlns:r="http://schemas.openxmlformats.org/officeDocument/2006/relationships" uri="GoogleSheetsCustomDataVersion2">
      <go:sheetsCustomData xmlns:go="http://customooxmlschemas.google.com/" r:id="rId1" roundtripDataSignature="AMtx7miScPl7JBCkcjJ2Ve4fKAZpvaBO2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100-000001000000}">
      <text>
        <r>
          <rPr>
            <sz val="10"/>
            <color rgb="FF000000"/>
            <rFont val="Arial"/>
            <scheme val="minor"/>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text>
    </comment>
    <comment ref="A9" authorId="0" shapeId="0" xr:uid="{00000000-0006-0000-0100-000003000000}">
      <text>
        <r>
          <rPr>
            <sz val="10"/>
            <color rgb="FF000000"/>
            <rFont val="Arial"/>
            <scheme val="minor"/>
          </rPr>
          <t>Aqui coloque o preço que espera vender seu produto ou quanto vai cobrar por cada serviço prestado.</t>
        </r>
      </text>
    </comment>
    <comment ref="A16" authorId="0" shapeId="0" xr:uid="{00000000-0006-0000-0100-000005000000}">
      <text>
        <r>
          <rPr>
            <sz val="10"/>
            <color rgb="FF000000"/>
            <rFont val="Arial"/>
            <scheme val="minor"/>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text>
    </comment>
    <comment ref="A17" authorId="0" shapeId="0" xr:uid="{00000000-0006-0000-0100-000004000000}">
      <text>
        <r>
          <rPr>
            <sz val="10"/>
            <color rgb="FF000000"/>
            <rFont val="Arial"/>
            <scheme val="minor"/>
          </rPr>
          <t>Aqui coloque o preço que espera vender seu produto ou quanto vai cobrar por cada serviço prestado.</t>
        </r>
      </text>
    </comment>
    <comment ref="A24" authorId="0" shapeId="0" xr:uid="{00000000-0006-0000-0100-000006000000}">
      <text>
        <r>
          <rPr>
            <sz val="10"/>
            <color rgb="FF000000"/>
            <rFont val="Arial"/>
            <scheme val="minor"/>
          </rPr>
          <t>Faça uma estimativa de quantos itens espera vender ou de quantos serviços espera prestar em cada um dos meses no primeiro ano. Em geral, as vendas logo no início do negócio são mais fracas porque muita gente ainda não conhece sua empresa e seus produtos. Faça uma estimativa para cada linha de produto.</t>
        </r>
      </text>
    </comment>
    <comment ref="A25" authorId="0" shapeId="0" xr:uid="{00000000-0006-0000-0100-000002000000}">
      <text>
        <r>
          <rPr>
            <sz val="10"/>
            <color rgb="FF000000"/>
            <rFont val="Arial"/>
            <scheme val="minor"/>
          </rPr>
          <t>Aqui coloque o preço que espera vender seu produto ou quanto vai cobrar por cada serviço prestado.</t>
        </r>
      </text>
    </comment>
  </commentList>
  <extLst>
    <ext xmlns:r="http://schemas.openxmlformats.org/officeDocument/2006/relationships" uri="GoogleSheetsCustomDataVersion2">
      <go:sheetsCustomData xmlns:go="http://customooxmlschemas.google.com/" r:id="rId1" roundtripDataSignature="AMtx7miDDBMPkV6LsU6QoZSmXXkjS8+Rq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Nesta planilha você precisa fazer uma estimativa de qual será o custo de cada produto vendido ou fabricado ou de cada serviço prestado.
Alguns exemplos:
a) Em uma pastelaria, você teria que estimar o custo médio de fabricação de cada pastel. Quanto você gastaria com farinha, ovos, recheio, etc para cada pastel.
b) Em uma loja de sapatos, você teria que estimar o preço médio que você pagaria para comprar o sapato da fábrica ou distribuidor de sapatos. Nesta situação, você poderia imaginar mais de uma categoria de sapatos porque cada categoria teria preços e custos muito diferentes.
c) Em uma empresa de serviço como um salão de beleza, por exemplo, você teria que estimar o custo da pretação de cada serviço. Seria necessário imaginar mais de uma categoria de serviço e estimar um custo médio com produtos para cada tipo de serviço. Em um corte de cabelo, você teria que estimar o custo de shampoo, da energia elétrica do secador, etc.</t>
        </r>
      </text>
    </comment>
  </commentList>
  <extLst>
    <ext xmlns:r="http://schemas.openxmlformats.org/officeDocument/2006/relationships" uri="GoogleSheetsCustomDataVersion2">
      <go:sheetsCustomData xmlns:go="http://customooxmlschemas.google.com/" r:id="rId1" roundtripDataSignature="AMtx7mhA2Lk2amcau0ddcTeJ0tPAYAl3W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Nesta planilha, o custo mensal é calculado automaticamente com base no custo unitário e na projeção de vendas.</t>
        </r>
      </text>
    </comment>
  </commentList>
  <extLst>
    <ext xmlns:r="http://schemas.openxmlformats.org/officeDocument/2006/relationships" uri="GoogleSheetsCustomDataVersion2">
      <go:sheetsCustomData xmlns:go="http://customooxmlschemas.google.com/" r:id="rId1" roundtripDataSignature="AMtx7mgWnsoqwtAWydyXftjKnrmw9vw2N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Nesta planilha é necessário fazer estimativas de quanto você vai gastar para criar a empresa e de quanto serão as despesas para mantê-la funcionando no primeiro ano.</t>
        </r>
      </text>
    </comment>
    <comment ref="A23" authorId="0" shapeId="0" xr:uid="{00000000-0006-0000-0400-000002000000}">
      <text>
        <r>
          <rPr>
            <sz val="10"/>
            <color rgb="FF000000"/>
            <rFont val="Arial"/>
            <scheme val="minor"/>
          </rPr>
          <t>Contabilidade, Internet, Advogados, Segurança, Limpeza, etc.</t>
        </r>
      </text>
    </comment>
  </commentList>
  <extLst>
    <ext xmlns:r="http://schemas.openxmlformats.org/officeDocument/2006/relationships" uri="GoogleSheetsCustomDataVersion2">
      <go:sheetsCustomData xmlns:go="http://customooxmlschemas.google.com/" r:id="rId1" roundtripDataSignature="AMtx7mhvdk9a4Qulg6e/LHFLB6YQ0q4pR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0"/>
            <color rgb="FF000000"/>
            <rFont val="Arial"/>
            <scheme val="minor"/>
          </rPr>
          <t>Este é o resumo do seu planejamento financeiro (DRE). Utilize o quando no seu plano de negócio para explicar os resultados financeiros que espera obter e a rentabilidade esperada.</t>
        </r>
      </text>
    </comment>
  </commentList>
  <extLst>
    <ext xmlns:r="http://schemas.openxmlformats.org/officeDocument/2006/relationships" uri="GoogleSheetsCustomDataVersion2">
      <go:sheetsCustomData xmlns:go="http://customooxmlschemas.google.com/" r:id="rId1" roundtripDataSignature="AMtx7miu8UI//YDP+Ck4m/t8KruFihuTVg=="/>
    </ext>
  </extLst>
</comments>
</file>

<file path=xl/sharedStrings.xml><?xml version="1.0" encoding="utf-8"?>
<sst xmlns="http://schemas.openxmlformats.org/spreadsheetml/2006/main" count="142" uniqueCount="96">
  <si>
    <t>Nome da Empresa:</t>
  </si>
  <si>
    <t>Atividade:</t>
  </si>
  <si>
    <t>Estimativa de crescimento das vendas</t>
  </si>
  <si>
    <t>Crescimento das vendas no Ano 02</t>
  </si>
  <si>
    <t>Crescimento das vendas no Ano 03</t>
  </si>
  <si>
    <t>Crescimento das vendas no Ano 04</t>
  </si>
  <si>
    <t>Crescimento das vendas no Ano 05</t>
  </si>
  <si>
    <t>Estimativa de reajustes nas despesas</t>
  </si>
  <si>
    <t>Reajustes nas despesas no Ano 02</t>
  </si>
  <si>
    <t>Reajustes nas despesas no Ano 03</t>
  </si>
  <si>
    <t>Reajustes nas despesas no Ano 04</t>
  </si>
  <si>
    <t>Reajustes nas despesas no Ano 05</t>
  </si>
  <si>
    <t xml:space="preserve">Valor Representativo da venda da solução : Plataforma (softwares) + Máquinas (hardwares) com percentual de Fee Mensal dos produtos tecnológicos oferecidos </t>
  </si>
  <si>
    <t>Mês</t>
  </si>
  <si>
    <t>Vendas - Ano 01</t>
  </si>
  <si>
    <t>Vendas Totais</t>
  </si>
  <si>
    <t>Itens vendidos</t>
  </si>
  <si>
    <t>Planilha para Cálculo do Custo Unitário</t>
  </si>
  <si>
    <t>Planilha para Cálculo do Custo Total</t>
  </si>
  <si>
    <t>Estimativa de Saídas de Caixa com Gastos Pré-Operacionais e Despesas Operacionais</t>
  </si>
  <si>
    <t>Gastos e Despesas - Ano 01</t>
  </si>
  <si>
    <t>Total de Saída de Caixa</t>
  </si>
  <si>
    <t>Depreciação</t>
  </si>
  <si>
    <t>Gastos para criar a empresa</t>
  </si>
  <si>
    <t>Gastos com documentação</t>
  </si>
  <si>
    <t>Gastos com máquinas e equipamentos</t>
  </si>
  <si>
    <t>Gastos com reforma do imóvel</t>
  </si>
  <si>
    <t>Gastos com móveis e utensílios</t>
  </si>
  <si>
    <t>Gastos com estoque inicial</t>
  </si>
  <si>
    <t>Outros gastos pré-operacionais</t>
  </si>
  <si>
    <t>Lançamento da plataforma - MKT</t>
  </si>
  <si>
    <t>Despesas com a operação</t>
  </si>
  <si>
    <t>Despesas com salários</t>
  </si>
  <si>
    <t>Retirada dos sócios</t>
  </si>
  <si>
    <t>Despesas com marketing e vendas</t>
  </si>
  <si>
    <t>Despesas com equipamento/infra</t>
  </si>
  <si>
    <t>Aluguel</t>
  </si>
  <si>
    <t>Serviço de Cloud</t>
  </si>
  <si>
    <t>Energia Elétrica</t>
  </si>
  <si>
    <t>Despesas de depreciação</t>
  </si>
  <si>
    <t>Outras Despesas</t>
  </si>
  <si>
    <t>Despesa com Operação</t>
  </si>
  <si>
    <t>Ao Mês</t>
  </si>
  <si>
    <t>Total Ano</t>
  </si>
  <si>
    <t xml:space="preserve"> Despesa </t>
  </si>
  <si>
    <t>Valor único</t>
  </si>
  <si>
    <t>Água</t>
  </si>
  <si>
    <t>Demonstração do Resultado do Exercício</t>
  </si>
  <si>
    <t>Ano 01</t>
  </si>
  <si>
    <t>Ano 02</t>
  </si>
  <si>
    <t>Ano 03</t>
  </si>
  <si>
    <t>Ano 04</t>
  </si>
  <si>
    <t>Ano 05</t>
  </si>
  <si>
    <t>Receitas Brutas</t>
  </si>
  <si>
    <t>(-) Impostos</t>
  </si>
  <si>
    <t>Receitas Líquidas</t>
  </si>
  <si>
    <t>(-)Custo das Mercadorias Vendidas</t>
  </si>
  <si>
    <t>(-) Despesas Operacionais</t>
  </si>
  <si>
    <t>Resultado antes do IR</t>
  </si>
  <si>
    <t>(-) Imposto de Renda</t>
  </si>
  <si>
    <t>Lucro/Prejuízo Líquido</t>
  </si>
  <si>
    <t>Demonstração do Fluxo de Caixa</t>
  </si>
  <si>
    <t>Entradas</t>
  </si>
  <si>
    <t>(-) Saídas</t>
  </si>
  <si>
    <t>(+) Depreciação</t>
  </si>
  <si>
    <t>Fluxo de Caixa</t>
  </si>
  <si>
    <t>Taxa Interna de Retorno Estimada:</t>
  </si>
  <si>
    <t>ao ano</t>
  </si>
  <si>
    <t>Necessidade de Investimento</t>
  </si>
  <si>
    <t>Ano 0</t>
  </si>
  <si>
    <t>Ano 1</t>
  </si>
  <si>
    <t>Ano 2</t>
  </si>
  <si>
    <t>Ano 3</t>
  </si>
  <si>
    <t>Ano 4</t>
  </si>
  <si>
    <t>Ano 5</t>
  </si>
  <si>
    <t>Esta planilha irá ajudá-lo(a) a preparar o planejamento financeiro para a sua startup. É uma planilha simplificada que exige pouca familiaridade com contabilidade ou finanças. 
Preencha todos os campos em "VERDE".
Utilize apenas a última planilha "Resumo - Planejamento Financeiro" para demonstrar a viabilidade e lucratividade do seu empreendimento.</t>
  </si>
  <si>
    <t>1 para Comércio</t>
  </si>
  <si>
    <t>2 para Serviços</t>
  </si>
  <si>
    <t>3 para Indústria</t>
  </si>
  <si>
    <t>Estimativa de reajustes nos custos</t>
  </si>
  <si>
    <t>Dashboard</t>
  </si>
  <si>
    <t>Total de despesas com Operação</t>
  </si>
  <si>
    <t>Total de Gastos  Pré-Operacionais</t>
  </si>
  <si>
    <t>Despesas com equipamento/infra, Contabilidade, Internet, Advogados, Segurança, Limpeza,</t>
  </si>
  <si>
    <t>Planilha para Projeção de Vendas: Previsão de lançamento em 1 Marca com 2 Escritórios</t>
  </si>
  <si>
    <t>Empresa XYZ</t>
  </si>
  <si>
    <t>produto 1</t>
  </si>
  <si>
    <t>produto 2</t>
  </si>
  <si>
    <t>produto 3</t>
  </si>
  <si>
    <t>produto 4</t>
  </si>
  <si>
    <t>produto 5</t>
  </si>
  <si>
    <t>produto 6</t>
  </si>
  <si>
    <t>produto 7</t>
  </si>
  <si>
    <t>produto 8</t>
  </si>
  <si>
    <t>produto 9</t>
  </si>
  <si>
    <t>produto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</si>
</sst>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R$&quot;\ #,##0;[Red]\-&quot;R$&quot;\ #,##0"/>
    <numFmt numFmtId="8" formatCode="&quot;R$&quot;\ #,##0.00;[Red]\-&quot;R$&quot;\ #,##0.00"/>
    <numFmt numFmtId="164" formatCode="_-* #,##0_-;\-* #,##0_-;_-* &quot;-&quot;??_-;_-@"/>
    <numFmt numFmtId="165" formatCode="0.0%"/>
  </numFmts>
  <fonts count="23" x14ac:knownFonts="1">
    <font>
      <sz val="10"/>
      <color rgb="FF000000"/>
      <name val="Arial"/>
      <scheme val="minor"/>
    </font>
    <font>
      <sz val="10"/>
      <color theme="1"/>
      <name val="Arial"/>
    </font>
    <font>
      <b/>
      <sz val="12"/>
      <color theme="1"/>
      <name val="Arial"/>
    </font>
    <font>
      <sz val="10"/>
      <color rgb="FFFFFFFF"/>
      <name val="Arial"/>
    </font>
    <font>
      <b/>
      <sz val="10"/>
      <color theme="1"/>
      <name val="Calibri"/>
      <family val="2"/>
    </font>
    <font>
      <sz val="11"/>
      <color theme="1"/>
      <name val="Calibri"/>
      <family val="2"/>
    </font>
    <font>
      <b/>
      <sz val="12"/>
      <color theme="1"/>
      <name val="Calibri"/>
      <family val="2"/>
    </font>
    <font>
      <b/>
      <sz val="12"/>
      <name val="Calibri"/>
      <family val="2"/>
    </font>
    <font>
      <sz val="12"/>
      <color theme="1"/>
      <name val="Calibri"/>
      <family val="2"/>
    </font>
    <font>
      <sz val="12"/>
      <color rgb="FF000000"/>
      <name val="Calibri"/>
      <family val="2"/>
    </font>
    <font>
      <b/>
      <sz val="10"/>
      <color rgb="FFFFFFFF"/>
      <name val="Calibri"/>
      <family val="2"/>
    </font>
    <font>
      <sz val="10"/>
      <name val="Calibri"/>
      <family val="2"/>
    </font>
    <font>
      <sz val="10"/>
      <color rgb="FF000000"/>
      <name val="Calibri"/>
      <family val="2"/>
    </font>
    <font>
      <sz val="10"/>
      <color theme="1"/>
      <name val="Calibri"/>
      <family val="2"/>
    </font>
    <font>
      <sz val="20"/>
      <color rgb="FFFF6600"/>
      <name val="Calibri"/>
      <family val="2"/>
    </font>
    <font>
      <sz val="8"/>
      <color theme="1"/>
      <name val="Calibri"/>
      <family val="2"/>
    </font>
    <font>
      <b/>
      <sz val="8"/>
      <color theme="1"/>
      <name val="Calibri"/>
      <family val="2"/>
    </font>
    <font>
      <b/>
      <sz val="14"/>
      <color theme="1"/>
      <name val="Calibri"/>
      <family val="2"/>
    </font>
    <font>
      <b/>
      <sz val="9"/>
      <color theme="1"/>
      <name val="Calibri"/>
      <family val="2"/>
    </font>
    <font>
      <sz val="9"/>
      <color theme="1"/>
      <name val="Calibri"/>
      <family val="2"/>
    </font>
    <font>
      <sz val="9"/>
      <color rgb="FF000000"/>
      <name val="Calibri"/>
      <family val="2"/>
    </font>
    <font>
      <sz val="8"/>
      <color rgb="FF000000"/>
      <name val="Calibri"/>
      <family val="2"/>
    </font>
    <font>
      <sz val="8"/>
      <name val="Arial"/>
      <scheme val="minor"/>
    </font>
  </fonts>
  <fills count="10">
    <fill>
      <patternFill patternType="none"/>
    </fill>
    <fill>
      <patternFill patternType="gray125"/>
    </fill>
    <fill>
      <patternFill patternType="solid">
        <fgColor rgb="FF00FF00"/>
        <bgColor rgb="FF00FF00"/>
      </patternFill>
    </fill>
    <fill>
      <patternFill patternType="solid">
        <fgColor rgb="FFFF6600"/>
        <bgColor rgb="FFFF6600"/>
      </patternFill>
    </fill>
    <fill>
      <patternFill patternType="solid">
        <fgColor rgb="FFFFCC00"/>
        <bgColor rgb="FFFFCC00"/>
      </patternFill>
    </fill>
    <fill>
      <patternFill patternType="solid">
        <fgColor rgb="FF6D9EEB"/>
        <bgColor rgb="FF6D9EEB"/>
      </patternFill>
    </fill>
    <fill>
      <patternFill patternType="solid">
        <fgColor rgb="FF93C47D"/>
        <bgColor rgb="FF93C47D"/>
      </patternFill>
    </fill>
    <fill>
      <patternFill patternType="solid">
        <fgColor rgb="FFFFFFFF"/>
        <bgColor rgb="FFFFFFFF"/>
      </patternFill>
    </fill>
    <fill>
      <patternFill patternType="solid">
        <fgColor rgb="FF7030A0"/>
        <bgColor rgb="FFC00000"/>
      </patternFill>
    </fill>
    <fill>
      <patternFill patternType="solid">
        <fgColor rgb="FF7030A0"/>
        <bgColor indexed="64"/>
      </patternFill>
    </fill>
  </fills>
  <borders count="12">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0" borderId="0" xfId="0" applyFont="1"/>
    <xf numFmtId="0" fontId="1" fillId="0" borderId="0" xfId="0" applyFont="1"/>
    <xf numFmtId="0" fontId="3" fillId="3" borderId="4" xfId="0" applyFont="1" applyFill="1" applyBorder="1" applyAlignment="1">
      <alignment horizontal="right"/>
    </xf>
    <xf numFmtId="0" fontId="1" fillId="4" borderId="4" xfId="0" applyFont="1" applyFill="1" applyBorder="1"/>
    <xf numFmtId="6" fontId="1" fillId="4" borderId="4" xfId="0" applyNumberFormat="1" applyFont="1" applyFill="1" applyBorder="1"/>
    <xf numFmtId="6" fontId="1" fillId="0" borderId="0" xfId="0" applyNumberFormat="1" applyFont="1"/>
    <xf numFmtId="0" fontId="1" fillId="7" borderId="4" xfId="0" applyFont="1" applyFill="1" applyBorder="1"/>
    <xf numFmtId="6" fontId="1" fillId="7" borderId="4" xfId="0" applyNumberFormat="1" applyFont="1" applyFill="1" applyBorder="1"/>
    <xf numFmtId="0" fontId="1" fillId="4" borderId="4" xfId="0" applyFont="1" applyFill="1" applyBorder="1" applyAlignment="1">
      <alignment horizontal="left"/>
    </xf>
    <xf numFmtId="165" fontId="1" fillId="4" borderId="4" xfId="0" applyNumberFormat="1" applyFont="1" applyFill="1" applyBorder="1"/>
    <xf numFmtId="10" fontId="1" fillId="0" borderId="0" xfId="0" applyNumberFormat="1" applyFont="1"/>
    <xf numFmtId="0" fontId="6" fillId="5" borderId="8" xfId="0" applyFont="1" applyFill="1" applyBorder="1" applyAlignment="1">
      <alignment horizontal="center" vertical="center"/>
    </xf>
    <xf numFmtId="40" fontId="8" fillId="0" borderId="8" xfId="0" applyNumberFormat="1" applyFont="1" applyBorder="1" applyAlignment="1">
      <alignment horizontal="left" vertical="center"/>
    </xf>
    <xf numFmtId="0" fontId="8" fillId="0" borderId="8" xfId="0" applyFont="1" applyBorder="1" applyAlignment="1">
      <alignment horizontal="left"/>
    </xf>
    <xf numFmtId="8" fontId="8" fillId="0" borderId="8" xfId="0" applyNumberFormat="1" applyFont="1" applyBorder="1" applyAlignment="1">
      <alignment horizontal="right" vertical="center"/>
    </xf>
    <xf numFmtId="40" fontId="8" fillId="0" borderId="5" xfId="0" applyNumberFormat="1" applyFont="1" applyBorder="1" applyAlignment="1">
      <alignment horizontal="left" vertical="center"/>
    </xf>
    <xf numFmtId="0" fontId="8" fillId="0" borderId="5" xfId="0" applyFont="1" applyBorder="1" applyAlignment="1">
      <alignment horizontal="left"/>
    </xf>
    <xf numFmtId="8" fontId="8" fillId="0" borderId="5" xfId="0" applyNumberFormat="1" applyFont="1" applyBorder="1" applyAlignment="1">
      <alignment horizontal="right" vertical="center"/>
    </xf>
    <xf numFmtId="8" fontId="6" fillId="0" borderId="11" xfId="0" applyNumberFormat="1" applyFont="1" applyBorder="1" applyAlignment="1">
      <alignment horizontal="right" vertical="center"/>
    </xf>
    <xf numFmtId="0" fontId="6" fillId="4" borderId="8" xfId="0" applyFont="1" applyFill="1" applyBorder="1" applyAlignment="1">
      <alignment horizontal="left" vertical="center"/>
    </xf>
    <xf numFmtId="0" fontId="6" fillId="6" borderId="8" xfId="0" applyFont="1" applyFill="1" applyBorder="1" applyAlignment="1">
      <alignment horizontal="center" vertical="center"/>
    </xf>
    <xf numFmtId="40" fontId="8" fillId="0" borderId="8" xfId="0" applyNumberFormat="1" applyFont="1" applyBorder="1" applyAlignment="1">
      <alignment vertical="center"/>
    </xf>
    <xf numFmtId="8" fontId="9" fillId="7" borderId="8" xfId="0" applyNumberFormat="1" applyFont="1" applyFill="1" applyBorder="1" applyAlignment="1">
      <alignment horizontal="right" vertical="center"/>
    </xf>
    <xf numFmtId="40" fontId="8" fillId="0" borderId="8" xfId="0" applyNumberFormat="1" applyFont="1" applyBorder="1" applyAlignment="1">
      <alignment vertical="center" wrapText="1"/>
    </xf>
    <xf numFmtId="40" fontId="8" fillId="0" borderId="5" xfId="0" applyNumberFormat="1" applyFont="1" applyBorder="1" applyAlignment="1">
      <alignment vertical="center"/>
    </xf>
    <xf numFmtId="8" fontId="9" fillId="7" borderId="5" xfId="0" applyNumberFormat="1" applyFont="1" applyFill="1" applyBorder="1" applyAlignment="1">
      <alignment horizontal="right" vertical="center"/>
    </xf>
    <xf numFmtId="40" fontId="6" fillId="0" borderId="8" xfId="0" applyNumberFormat="1" applyFont="1" applyBorder="1" applyAlignment="1">
      <alignment vertical="center" wrapText="1"/>
    </xf>
    <xf numFmtId="8" fontId="6" fillId="0" borderId="8" xfId="0" applyNumberFormat="1" applyFont="1" applyBorder="1" applyAlignment="1">
      <alignment horizontal="right" vertical="center"/>
    </xf>
    <xf numFmtId="0" fontId="12" fillId="0" borderId="0" xfId="0" applyFont="1"/>
    <xf numFmtId="0" fontId="4" fillId="0" borderId="0" xfId="0" applyFont="1"/>
    <xf numFmtId="0" fontId="13" fillId="2" borderId="4" xfId="0" applyFont="1" applyFill="1" applyBorder="1"/>
    <xf numFmtId="0" fontId="13" fillId="0" borderId="0" xfId="0" applyFont="1"/>
    <xf numFmtId="0" fontId="13" fillId="0" borderId="0" xfId="0" applyFont="1" applyAlignment="1">
      <alignment horizontal="left"/>
    </xf>
    <xf numFmtId="9" fontId="13" fillId="2" borderId="4" xfId="0" applyNumberFormat="1" applyFont="1" applyFill="1" applyBorder="1"/>
    <xf numFmtId="0" fontId="15" fillId="0" borderId="0" xfId="0" applyFont="1"/>
    <xf numFmtId="0" fontId="15" fillId="0" borderId="0" xfId="0" applyFont="1" applyAlignment="1">
      <alignment horizontal="right"/>
    </xf>
    <xf numFmtId="0" fontId="5" fillId="0" borderId="0" xfId="0" applyFont="1"/>
    <xf numFmtId="0" fontId="16" fillId="3" borderId="4" xfId="0" applyFont="1" applyFill="1" applyBorder="1"/>
    <xf numFmtId="0" fontId="16" fillId="3" borderId="4" xfId="0" applyFont="1" applyFill="1" applyBorder="1" applyAlignment="1">
      <alignment horizontal="right"/>
    </xf>
    <xf numFmtId="0" fontId="16" fillId="0" borderId="0" xfId="0" applyFont="1"/>
    <xf numFmtId="8" fontId="16" fillId="0" borderId="0" xfId="0" applyNumberFormat="1" applyFont="1"/>
    <xf numFmtId="8" fontId="16" fillId="0" borderId="0" xfId="0" applyNumberFormat="1" applyFont="1" applyAlignment="1">
      <alignment horizontal="right"/>
    </xf>
    <xf numFmtId="0" fontId="15" fillId="4" borderId="4" xfId="0" applyFont="1" applyFill="1" applyBorder="1"/>
    <xf numFmtId="8" fontId="15" fillId="4" borderId="4" xfId="0" applyNumberFormat="1" applyFont="1" applyFill="1" applyBorder="1"/>
    <xf numFmtId="8" fontId="15" fillId="4" borderId="4" xfId="0" applyNumberFormat="1" applyFont="1" applyFill="1" applyBorder="1" applyAlignment="1">
      <alignment horizontal="right"/>
    </xf>
    <xf numFmtId="8" fontId="15" fillId="2" borderId="4" xfId="0" applyNumberFormat="1" applyFont="1" applyFill="1" applyBorder="1"/>
    <xf numFmtId="8" fontId="15" fillId="0" borderId="0" xfId="0" applyNumberFormat="1" applyFont="1" applyAlignment="1">
      <alignment horizontal="right"/>
    </xf>
    <xf numFmtId="0" fontId="17" fillId="0" borderId="0" xfId="0" applyFont="1"/>
    <xf numFmtId="0" fontId="18" fillId="3" borderId="4" xfId="0" applyFont="1" applyFill="1" applyBorder="1"/>
    <xf numFmtId="0" fontId="18" fillId="3" borderId="4" xfId="0" applyFont="1" applyFill="1" applyBorder="1" applyAlignment="1">
      <alignment horizontal="right"/>
    </xf>
    <xf numFmtId="0" fontId="19" fillId="0" borderId="0" xfId="0" applyFont="1"/>
    <xf numFmtId="0" fontId="20" fillId="0" borderId="0" xfId="0" applyFont="1"/>
    <xf numFmtId="0" fontId="18" fillId="0" borderId="0" xfId="0" applyFont="1"/>
    <xf numFmtId="8" fontId="18" fillId="0" borderId="0" xfId="0" applyNumberFormat="1" applyFont="1"/>
    <xf numFmtId="8" fontId="18" fillId="0" borderId="0" xfId="0" applyNumberFormat="1" applyFont="1" applyAlignment="1">
      <alignment horizontal="right"/>
    </xf>
    <xf numFmtId="0" fontId="19" fillId="0" borderId="0" xfId="0" applyFont="1" applyAlignment="1">
      <alignment horizontal="right"/>
    </xf>
    <xf numFmtId="0" fontId="19" fillId="4" borderId="4" xfId="0" applyFont="1" applyFill="1" applyBorder="1"/>
    <xf numFmtId="8" fontId="19" fillId="4" borderId="4" xfId="0" applyNumberFormat="1" applyFont="1" applyFill="1" applyBorder="1"/>
    <xf numFmtId="8" fontId="19" fillId="4" borderId="4" xfId="0" applyNumberFormat="1" applyFont="1" applyFill="1" applyBorder="1" applyAlignment="1">
      <alignment horizontal="right"/>
    </xf>
    <xf numFmtId="0" fontId="19" fillId="2" borderId="4" xfId="0" applyFont="1" applyFill="1" applyBorder="1"/>
    <xf numFmtId="8" fontId="19" fillId="2" borderId="4" xfId="0" applyNumberFormat="1" applyFont="1" applyFill="1" applyBorder="1"/>
    <xf numFmtId="8" fontId="19" fillId="0" borderId="0" xfId="0" applyNumberFormat="1" applyFont="1" applyAlignment="1">
      <alignment horizontal="right"/>
    </xf>
    <xf numFmtId="8" fontId="15" fillId="0" borderId="0" xfId="0" applyNumberFormat="1" applyFont="1"/>
    <xf numFmtId="40" fontId="15" fillId="0" borderId="0" xfId="0" applyNumberFormat="1" applyFont="1"/>
    <xf numFmtId="164" fontId="16" fillId="3" borderId="4" xfId="0" applyNumberFormat="1" applyFont="1" applyFill="1" applyBorder="1"/>
    <xf numFmtId="164" fontId="16" fillId="3" borderId="4" xfId="0" applyNumberFormat="1" applyFont="1" applyFill="1" applyBorder="1" applyAlignment="1">
      <alignment horizontal="right" wrapText="1"/>
    </xf>
    <xf numFmtId="164" fontId="15" fillId="0" borderId="0" xfId="0" applyNumberFormat="1" applyFont="1"/>
    <xf numFmtId="40" fontId="16" fillId="0" borderId="0" xfId="0" applyNumberFormat="1" applyFont="1"/>
    <xf numFmtId="40" fontId="15" fillId="4" borderId="4" xfId="0" applyNumberFormat="1" applyFont="1" applyFill="1" applyBorder="1"/>
    <xf numFmtId="8" fontId="21" fillId="0" borderId="0" xfId="0" applyNumberFormat="1" applyFont="1"/>
    <xf numFmtId="8" fontId="1" fillId="0" borderId="0" xfId="0" applyNumberFormat="1" applyFont="1" applyAlignment="1">
      <alignment horizontal="left"/>
    </xf>
    <xf numFmtId="0" fontId="1" fillId="0" borderId="0" xfId="0" applyFont="1" applyAlignment="1">
      <alignment horizontal="center"/>
    </xf>
    <xf numFmtId="0" fontId="10" fillId="8" borderId="1" xfId="0" applyFont="1" applyFill="1" applyBorder="1" applyAlignment="1">
      <alignment horizontal="left" vertical="center" wrapText="1"/>
    </xf>
    <xf numFmtId="0" fontId="11" fillId="9" borderId="2" xfId="0" applyFont="1" applyFill="1" applyBorder="1"/>
    <xf numFmtId="0" fontId="11" fillId="9" borderId="3" xfId="0" applyFont="1" applyFill="1" applyBorder="1"/>
    <xf numFmtId="0" fontId="12" fillId="9" borderId="0" xfId="0" applyFont="1" applyFill="1"/>
    <xf numFmtId="0" fontId="14" fillId="2" borderId="5" xfId="0" applyFont="1" applyFill="1" applyBorder="1" applyAlignment="1">
      <alignment horizontal="center" vertical="center"/>
    </xf>
    <xf numFmtId="0" fontId="11" fillId="0" borderId="6" xfId="0" applyFont="1" applyBorder="1"/>
    <xf numFmtId="0" fontId="11" fillId="0" borderId="7" xfId="0" applyFont="1" applyBorder="1"/>
    <xf numFmtId="0" fontId="6" fillId="4" borderId="9" xfId="0" applyFont="1" applyFill="1" applyBorder="1" applyAlignment="1">
      <alignment vertical="center"/>
    </xf>
    <xf numFmtId="0" fontId="7" fillId="0" borderId="10" xfId="0" applyFont="1" applyBorder="1"/>
    <xf numFmtId="40" fontId="6" fillId="0" borderId="1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i="0">
                <a:solidFill>
                  <a:srgbClr val="757575"/>
                </a:solidFill>
                <a:latin typeface="+mn-lt"/>
              </a:defRPr>
            </a:pPr>
            <a:r>
              <a:rPr lang="pt-BR" b="0" i="0">
                <a:solidFill>
                  <a:srgbClr val="757575"/>
                </a:solidFill>
                <a:latin typeface="+mn-lt"/>
              </a:rPr>
              <a:t>Lucro/Prejuízo Líquido</a:t>
            </a:r>
          </a:p>
        </c:rich>
      </c:tx>
      <c:overlay val="0"/>
    </c:title>
    <c:autoTitleDeleted val="0"/>
    <c:plotArea>
      <c:layout/>
      <c:areaChart>
        <c:grouping val="stacked"/>
        <c:varyColors val="1"/>
        <c:ser>
          <c:idx val="0"/>
          <c:order val="0"/>
          <c:tx>
            <c:strRef>
              <c:f>'Resumo-Planejamento Financeiro'!$A$11</c:f>
              <c:strCache>
                <c:ptCount val="1"/>
                <c:pt idx="0">
                  <c:v>Lucro/Prejuízo Líquido</c:v>
                </c:pt>
              </c:strCache>
            </c:strRef>
          </c:tx>
          <c:spPr>
            <a:solidFill>
              <a:srgbClr val="FFCC00">
                <a:alpha val="30000"/>
              </a:srgbClr>
            </a:solidFill>
            <a:ln w="19050" cmpd="sng">
              <a:solidFill>
                <a:srgbClr val="FFCC00">
                  <a:alpha val="100000"/>
                </a:srgbClr>
              </a:solidFill>
            </a:ln>
          </c:spPr>
          <c:cat>
            <c:strRef>
              <c:f>'Resumo-Planejamento Financeiro'!$B$3:$F$3</c:f>
              <c:strCache>
                <c:ptCount val="5"/>
                <c:pt idx="0">
                  <c:v>Ano 01</c:v>
                </c:pt>
                <c:pt idx="1">
                  <c:v>Ano 02</c:v>
                </c:pt>
                <c:pt idx="2">
                  <c:v>Ano 03</c:v>
                </c:pt>
                <c:pt idx="3">
                  <c:v>Ano 04</c:v>
                </c:pt>
                <c:pt idx="4">
                  <c:v>Ano 05</c:v>
                </c:pt>
              </c:strCache>
            </c:strRef>
          </c:cat>
          <c:val>
            <c:numRef>
              <c:f>'Resumo-Planejamento Financeiro'!$B$11:$F$11</c:f>
              <c:numCache>
                <c:formatCode>"R$"#,##0_);[Red]\("R$"#,##0\)</c:formatCode>
                <c:ptCount val="5"/>
                <c:pt idx="0">
                  <c:v>-268830</c:v>
                </c:pt>
                <c:pt idx="1">
                  <c:v>-250725.75000000012</c:v>
                </c:pt>
                <c:pt idx="2">
                  <c:v>-184863.93750000012</c:v>
                </c:pt>
                <c:pt idx="3">
                  <c:v>60162.609374999825</c:v>
                </c:pt>
                <c:pt idx="4">
                  <c:v>625346.74124999996</c:v>
                </c:pt>
              </c:numCache>
            </c:numRef>
          </c:val>
          <c:extLst>
            <c:ext xmlns:c16="http://schemas.microsoft.com/office/drawing/2014/chart" uri="{C3380CC4-5D6E-409C-BE32-E72D297353CC}">
              <c16:uniqueId val="{00000000-1C37-419D-AD7F-A6BDC3410829}"/>
            </c:ext>
          </c:extLst>
        </c:ser>
        <c:dLbls>
          <c:showLegendKey val="0"/>
          <c:showVal val="0"/>
          <c:showCatName val="0"/>
          <c:showSerName val="0"/>
          <c:showPercent val="0"/>
          <c:showBubbleSize val="0"/>
        </c:dLbls>
        <c:axId val="167151795"/>
        <c:axId val="1548165517"/>
      </c:areaChart>
      <c:catAx>
        <c:axId val="167151795"/>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548165517"/>
        <c:crosses val="autoZero"/>
        <c:auto val="1"/>
        <c:lblAlgn val="ctr"/>
        <c:lblOffset val="100"/>
        <c:noMultiLvlLbl val="1"/>
      </c:catAx>
      <c:valAx>
        <c:axId val="1548165517"/>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lang="pt-BR" b="0" i="0">
                    <a:solidFill>
                      <a:srgbClr val="000000"/>
                    </a:solidFill>
                    <a:latin typeface="+mn-lt"/>
                  </a:rPr>
                  <a:t>Lucro/Prejuízo Líquido</a:t>
                </a:r>
              </a:p>
            </c:rich>
          </c:tx>
          <c:overlay val="0"/>
        </c:title>
        <c:numFmt formatCode="&quot;R$&quot;#,##0_);[Red]\(&quot;R$&quot;#,##0\)" sourceLinked="1"/>
        <c:majorTickMark val="none"/>
        <c:minorTickMark val="none"/>
        <c:tickLblPos val="nextTo"/>
        <c:spPr>
          <a:ln/>
        </c:spPr>
        <c:txPr>
          <a:bodyPr/>
          <a:lstStyle/>
          <a:p>
            <a:pPr lvl="0">
              <a:defRPr b="1" i="0">
                <a:solidFill>
                  <a:srgbClr val="000000"/>
                </a:solidFill>
                <a:latin typeface="+mn-lt"/>
              </a:defRPr>
            </a:pPr>
            <a:endParaRPr lang="pt-BR"/>
          </a:p>
        </c:txPr>
        <c:crossAx val="167151795"/>
        <c:crosses val="autoZero"/>
        <c:crossBetween val="midCat"/>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i="0">
                <a:solidFill>
                  <a:srgbClr val="757575"/>
                </a:solidFill>
                <a:latin typeface="+mn-lt"/>
              </a:defRPr>
            </a:pPr>
            <a:r>
              <a:rPr lang="pt-BR" b="0" i="0">
                <a:solidFill>
                  <a:srgbClr val="757575"/>
                </a:solidFill>
                <a:latin typeface="+mn-lt"/>
              </a:rPr>
              <a:t>Fluxo de Caixa</a:t>
            </a:r>
          </a:p>
        </c:rich>
      </c:tx>
      <c:overlay val="0"/>
    </c:title>
    <c:autoTitleDeleted val="0"/>
    <c:plotArea>
      <c:layout/>
      <c:barChart>
        <c:barDir val="col"/>
        <c:grouping val="clustered"/>
        <c:varyColors val="1"/>
        <c:ser>
          <c:idx val="0"/>
          <c:order val="0"/>
          <c:tx>
            <c:strRef>
              <c:f>'Resumo-Planejamento Financeiro'!$A$19</c:f>
              <c:strCache>
                <c:ptCount val="1"/>
                <c:pt idx="0">
                  <c:v>Fluxo de Caixa</c:v>
                </c:pt>
              </c:strCache>
            </c:strRef>
          </c:tx>
          <c:spPr>
            <a:solidFill>
              <a:srgbClr val="3366CC"/>
            </a:solidFill>
            <a:ln cmpd="sng">
              <a:solidFill>
                <a:srgbClr val="000000"/>
              </a:solidFill>
            </a:ln>
          </c:spPr>
          <c:invertIfNegative val="1"/>
          <c:cat>
            <c:strRef>
              <c:f>'Resumo-Planejamento Financeiro'!$B$15:$F$15</c:f>
              <c:strCache>
                <c:ptCount val="5"/>
                <c:pt idx="0">
                  <c:v>Ano 01</c:v>
                </c:pt>
                <c:pt idx="1">
                  <c:v>Ano 02</c:v>
                </c:pt>
                <c:pt idx="2">
                  <c:v>Ano 03</c:v>
                </c:pt>
                <c:pt idx="3">
                  <c:v>Ano 04</c:v>
                </c:pt>
                <c:pt idx="4">
                  <c:v>Ano 05</c:v>
                </c:pt>
              </c:strCache>
            </c:strRef>
          </c:cat>
          <c:val>
            <c:numRef>
              <c:f>'Resumo-Planejamento Financeiro'!$B$19:$F$19</c:f>
              <c:numCache>
                <c:formatCode>"R$"#,##0_);[Red]\("R$"#,##0\)</c:formatCode>
                <c:ptCount val="5"/>
                <c:pt idx="0">
                  <c:v>-261330</c:v>
                </c:pt>
                <c:pt idx="1">
                  <c:v>-243225.75</c:v>
                </c:pt>
                <c:pt idx="2">
                  <c:v>-177363.9375</c:v>
                </c:pt>
                <c:pt idx="3">
                  <c:v>67662.609374999767</c:v>
                </c:pt>
                <c:pt idx="4">
                  <c:v>632846.74124999996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93B-41B2-8F94-D25258BC5E72}"/>
            </c:ext>
          </c:extLst>
        </c:ser>
        <c:dLbls>
          <c:showLegendKey val="0"/>
          <c:showVal val="0"/>
          <c:showCatName val="0"/>
          <c:showSerName val="0"/>
          <c:showPercent val="0"/>
          <c:showBubbleSize val="0"/>
        </c:dLbls>
        <c:gapWidth val="150"/>
        <c:axId val="1062795511"/>
        <c:axId val="1832805994"/>
      </c:barChart>
      <c:catAx>
        <c:axId val="106279551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832805994"/>
        <c:crosses val="autoZero"/>
        <c:auto val="1"/>
        <c:lblAlgn val="ctr"/>
        <c:lblOffset val="100"/>
        <c:noMultiLvlLbl val="1"/>
      </c:catAx>
      <c:valAx>
        <c:axId val="1832805994"/>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lang="pt-BR" b="0" i="0">
                    <a:solidFill>
                      <a:srgbClr val="000000"/>
                    </a:solidFill>
                    <a:latin typeface="+mn-lt"/>
                  </a:rPr>
                  <a:t>Fluxo de Caixa</a:t>
                </a:r>
              </a:p>
            </c:rich>
          </c:tx>
          <c:overlay val="0"/>
        </c:title>
        <c:numFmt formatCode="&quot;R$&quot;#,##0_);[Red]\(&quot;R$&quot;#,##0\)" sourceLinked="1"/>
        <c:majorTickMark val="none"/>
        <c:minorTickMark val="none"/>
        <c:tickLblPos val="nextTo"/>
        <c:spPr>
          <a:ln/>
        </c:spPr>
        <c:txPr>
          <a:bodyPr/>
          <a:lstStyle/>
          <a:p>
            <a:pPr lvl="0">
              <a:defRPr b="0" i="0">
                <a:solidFill>
                  <a:srgbClr val="000000"/>
                </a:solidFill>
                <a:latin typeface="+mn-lt"/>
              </a:defRPr>
            </a:pPr>
            <a:endParaRPr lang="pt-BR"/>
          </a:p>
        </c:txPr>
        <c:crossAx val="1062795511"/>
        <c:crosses val="autoZero"/>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342900</xdr:colOff>
      <xdr:row>2</xdr:row>
      <xdr:rowOff>95250</xdr:rowOff>
    </xdr:from>
    <xdr:ext cx="5838825" cy="3381375"/>
    <xdr:graphicFrame macro="">
      <xdr:nvGraphicFramePr>
        <xdr:cNvPr id="399149734" name="Chart 1" title="Chart">
          <a:extLst>
            <a:ext uri="{FF2B5EF4-FFF2-40B4-BE49-F238E27FC236}">
              <a16:creationId xmlns:a16="http://schemas.microsoft.com/office/drawing/2014/main" id="{00000000-0008-0000-0600-0000A68AC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16</xdr:col>
      <xdr:colOff>38100</xdr:colOff>
      <xdr:row>2</xdr:row>
      <xdr:rowOff>57150</xdr:rowOff>
    </xdr:from>
    <xdr:ext cx="6111240" cy="3533775"/>
    <xdr:graphicFrame macro="">
      <xdr:nvGraphicFramePr>
        <xdr:cNvPr id="2097802648" name="Chart 2" title="Chart">
          <a:extLst>
            <a:ext uri="{FF2B5EF4-FFF2-40B4-BE49-F238E27FC236}">
              <a16:creationId xmlns:a16="http://schemas.microsoft.com/office/drawing/2014/main" id="{00000000-0008-0000-0600-000098ED0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topLeftCell="A32" zoomScale="85" zoomScaleNormal="85" workbookViewId="0">
      <selection activeCell="A16" sqref="A16"/>
    </sheetView>
  </sheetViews>
  <sheetFormatPr defaultColWidth="12.6640625" defaultRowHeight="15" customHeight="1" x14ac:dyDescent="0.3"/>
  <cols>
    <col min="1" max="1" width="10.88671875" style="29" customWidth="1"/>
    <col min="2" max="2" width="8.88671875" style="29" customWidth="1"/>
    <col min="3" max="3" width="23.33203125" style="29" customWidth="1"/>
    <col min="4" max="5" width="8.88671875" style="29" customWidth="1"/>
    <col min="6" max="6" width="16.88671875" style="29" customWidth="1"/>
    <col min="7" max="26" width="14.33203125" style="29" customWidth="1"/>
    <col min="27" max="16384" width="12.6640625" style="29"/>
  </cols>
  <sheetData>
    <row r="1" spans="1:6" ht="12.75" customHeight="1" x14ac:dyDescent="0.3">
      <c r="A1" s="73" t="s">
        <v>75</v>
      </c>
      <c r="B1" s="74"/>
      <c r="C1" s="74"/>
      <c r="D1" s="74"/>
      <c r="E1" s="74"/>
      <c r="F1" s="74"/>
    </row>
    <row r="2" spans="1:6" ht="12.75" customHeight="1" x14ac:dyDescent="0.3">
      <c r="A2" s="75"/>
      <c r="B2" s="76"/>
      <c r="C2" s="76"/>
      <c r="D2" s="76"/>
      <c r="E2" s="76"/>
      <c r="F2" s="76"/>
    </row>
    <row r="3" spans="1:6" ht="12.75" customHeight="1" x14ac:dyDescent="0.3">
      <c r="A3" s="75"/>
      <c r="B3" s="76"/>
      <c r="C3" s="76"/>
      <c r="D3" s="76"/>
      <c r="E3" s="76"/>
      <c r="F3" s="76"/>
    </row>
    <row r="4" spans="1:6" ht="12.75" customHeight="1" x14ac:dyDescent="0.3">
      <c r="A4" s="75"/>
      <c r="B4" s="76"/>
      <c r="C4" s="76"/>
      <c r="D4" s="76"/>
      <c r="E4" s="76"/>
      <c r="F4" s="76"/>
    </row>
    <row r="5" spans="1:6" ht="12.75" customHeight="1" x14ac:dyDescent="0.3">
      <c r="A5" s="75"/>
      <c r="B5" s="76"/>
      <c r="C5" s="76"/>
      <c r="D5" s="76"/>
      <c r="E5" s="76"/>
      <c r="F5" s="76"/>
    </row>
    <row r="6" spans="1:6" ht="12.75" customHeight="1" x14ac:dyDescent="0.3">
      <c r="A6" s="75"/>
      <c r="B6" s="76"/>
      <c r="C6" s="76"/>
      <c r="D6" s="76"/>
      <c r="E6" s="76"/>
      <c r="F6" s="76"/>
    </row>
    <row r="7" spans="1:6" ht="12.75" customHeight="1" x14ac:dyDescent="0.3">
      <c r="A7" s="75"/>
      <c r="B7" s="76"/>
      <c r="C7" s="76"/>
      <c r="D7" s="76"/>
      <c r="E7" s="76"/>
      <c r="F7" s="76"/>
    </row>
    <row r="8" spans="1:6" ht="12.75" customHeight="1" x14ac:dyDescent="0.3"/>
    <row r="9" spans="1:6" ht="12.75" customHeight="1" x14ac:dyDescent="0.3">
      <c r="A9" s="30" t="s">
        <v>0</v>
      </c>
      <c r="C9" s="31" t="s">
        <v>85</v>
      </c>
      <c r="D9" s="31"/>
      <c r="E9" s="31"/>
      <c r="F9" s="31"/>
    </row>
    <row r="10" spans="1:6" ht="12.75" customHeight="1" x14ac:dyDescent="0.3">
      <c r="A10" s="30" t="s">
        <v>1</v>
      </c>
      <c r="B10" s="77">
        <v>2</v>
      </c>
      <c r="C10" s="32" t="s">
        <v>76</v>
      </c>
    </row>
    <row r="11" spans="1:6" ht="12.75" customHeight="1" x14ac:dyDescent="0.3">
      <c r="B11" s="78"/>
      <c r="C11" s="32" t="s">
        <v>77</v>
      </c>
    </row>
    <row r="12" spans="1:6" ht="12.75" customHeight="1" x14ac:dyDescent="0.3">
      <c r="B12" s="79"/>
      <c r="C12" s="32" t="s">
        <v>78</v>
      </c>
    </row>
    <row r="13" spans="1:6" ht="12.75" customHeight="1" x14ac:dyDescent="0.3"/>
    <row r="14" spans="1:6" ht="12.75" customHeight="1" x14ac:dyDescent="0.3"/>
    <row r="15" spans="1:6" ht="12.75" customHeight="1" x14ac:dyDescent="0.3">
      <c r="A15" s="30" t="str">
        <f>IF(B10=2,"Nomes dos serviços que sua empresa irá vender","Nome dos produtos que sua empresa irá vender")</f>
        <v>Nomes dos serviços que sua empresa irá vender</v>
      </c>
      <c r="B15" s="30"/>
      <c r="C15" s="30"/>
    </row>
    <row r="16" spans="1:6" ht="12.75" customHeight="1" x14ac:dyDescent="0.3">
      <c r="A16" s="32" t="str">
        <f t="shared" ref="A16:A25" si="0">IF(B$10=2,"Serviço","Produto")</f>
        <v>Serviço</v>
      </c>
      <c r="B16" s="33">
        <v>1</v>
      </c>
      <c r="C16" s="31" t="s">
        <v>86</v>
      </c>
    </row>
    <row r="17" spans="1:4" ht="12.75" customHeight="1" x14ac:dyDescent="0.3">
      <c r="A17" s="32" t="str">
        <f t="shared" si="0"/>
        <v>Serviço</v>
      </c>
      <c r="B17" s="33">
        <v>2</v>
      </c>
      <c r="C17" s="31" t="s">
        <v>87</v>
      </c>
    </row>
    <row r="18" spans="1:4" ht="12.75" customHeight="1" x14ac:dyDescent="0.3">
      <c r="A18" s="32" t="str">
        <f t="shared" si="0"/>
        <v>Serviço</v>
      </c>
      <c r="B18" s="33">
        <v>3</v>
      </c>
      <c r="C18" s="31" t="s">
        <v>88</v>
      </c>
    </row>
    <row r="19" spans="1:4" ht="12.75" customHeight="1" x14ac:dyDescent="0.3">
      <c r="A19" s="32" t="str">
        <f t="shared" si="0"/>
        <v>Serviço</v>
      </c>
      <c r="B19" s="33">
        <v>4</v>
      </c>
      <c r="C19" s="31" t="s">
        <v>89</v>
      </c>
    </row>
    <row r="20" spans="1:4" ht="12.75" customHeight="1" x14ac:dyDescent="0.3">
      <c r="A20" s="32" t="str">
        <f t="shared" si="0"/>
        <v>Serviço</v>
      </c>
      <c r="B20" s="33">
        <v>5</v>
      </c>
      <c r="C20" s="31" t="s">
        <v>90</v>
      </c>
    </row>
    <row r="21" spans="1:4" ht="12.75" customHeight="1" x14ac:dyDescent="0.3">
      <c r="A21" s="32" t="str">
        <f t="shared" si="0"/>
        <v>Serviço</v>
      </c>
      <c r="B21" s="33">
        <v>6</v>
      </c>
      <c r="C21" s="31" t="s">
        <v>91</v>
      </c>
    </row>
    <row r="22" spans="1:4" ht="12.75" customHeight="1" x14ac:dyDescent="0.3">
      <c r="A22" s="32" t="str">
        <f t="shared" si="0"/>
        <v>Serviço</v>
      </c>
      <c r="B22" s="33">
        <v>7</v>
      </c>
      <c r="C22" s="31" t="s">
        <v>92</v>
      </c>
    </row>
    <row r="23" spans="1:4" ht="12.75" customHeight="1" x14ac:dyDescent="0.3">
      <c r="A23" s="32" t="str">
        <f t="shared" si="0"/>
        <v>Serviço</v>
      </c>
      <c r="B23" s="33">
        <v>8</v>
      </c>
      <c r="C23" s="31" t="s">
        <v>93</v>
      </c>
    </row>
    <row r="24" spans="1:4" ht="12.75" customHeight="1" x14ac:dyDescent="0.3">
      <c r="A24" s="32" t="str">
        <f t="shared" si="0"/>
        <v>Serviço</v>
      </c>
      <c r="B24" s="33">
        <v>9</v>
      </c>
      <c r="C24" s="31" t="s">
        <v>94</v>
      </c>
    </row>
    <row r="25" spans="1:4" ht="12.75" customHeight="1" x14ac:dyDescent="0.3">
      <c r="A25" s="32" t="str">
        <f t="shared" si="0"/>
        <v>Serviço</v>
      </c>
      <c r="B25" s="33">
        <v>10</v>
      </c>
      <c r="C25" s="31" t="s">
        <v>95</v>
      </c>
    </row>
    <row r="26" spans="1:4" ht="12.75" customHeight="1" x14ac:dyDescent="0.3"/>
    <row r="27" spans="1:4" ht="12.75" customHeight="1" x14ac:dyDescent="0.3"/>
    <row r="28" spans="1:4" ht="12.75" customHeight="1" x14ac:dyDescent="0.3">
      <c r="A28" s="30" t="s">
        <v>2</v>
      </c>
    </row>
    <row r="29" spans="1:4" ht="12.75" customHeight="1" x14ac:dyDescent="0.3">
      <c r="A29" s="32" t="s">
        <v>3</v>
      </c>
      <c r="D29" s="34">
        <v>0.15</v>
      </c>
    </row>
    <row r="30" spans="1:4" ht="12.75" customHeight="1" x14ac:dyDescent="0.3">
      <c r="A30" s="32" t="s">
        <v>4</v>
      </c>
      <c r="D30" s="34">
        <v>0.25</v>
      </c>
    </row>
    <row r="31" spans="1:4" ht="12.75" customHeight="1" x14ac:dyDescent="0.3">
      <c r="A31" s="32" t="s">
        <v>5</v>
      </c>
      <c r="D31" s="34">
        <v>0.4</v>
      </c>
    </row>
    <row r="32" spans="1:4" ht="12.75" customHeight="1" x14ac:dyDescent="0.3">
      <c r="A32" s="32" t="s">
        <v>6</v>
      </c>
      <c r="D32" s="34">
        <v>0.6</v>
      </c>
    </row>
    <row r="33" spans="1:4" ht="12.75" customHeight="1" x14ac:dyDescent="0.3"/>
    <row r="34" spans="1:4" ht="12.75" customHeight="1" x14ac:dyDescent="0.3"/>
    <row r="35" spans="1:4" ht="12.75" customHeight="1" x14ac:dyDescent="0.3">
      <c r="A35" s="30" t="s">
        <v>7</v>
      </c>
    </row>
    <row r="36" spans="1:4" ht="12.75" customHeight="1" x14ac:dyDescent="0.3">
      <c r="A36" s="32" t="s">
        <v>8</v>
      </c>
      <c r="D36" s="34">
        <v>0.1</v>
      </c>
    </row>
    <row r="37" spans="1:4" ht="12.75" customHeight="1" x14ac:dyDescent="0.3">
      <c r="A37" s="32" t="s">
        <v>9</v>
      </c>
      <c r="D37" s="34">
        <v>0.15</v>
      </c>
    </row>
    <row r="38" spans="1:4" ht="12.75" customHeight="1" x14ac:dyDescent="0.3">
      <c r="A38" s="32" t="s">
        <v>10</v>
      </c>
      <c r="D38" s="34">
        <v>0.15</v>
      </c>
    </row>
    <row r="39" spans="1:4" ht="12.75" customHeight="1" x14ac:dyDescent="0.3">
      <c r="A39" s="32" t="s">
        <v>11</v>
      </c>
      <c r="D39" s="34">
        <v>0.15</v>
      </c>
    </row>
    <row r="40" spans="1:4" ht="12.75" customHeight="1" x14ac:dyDescent="0.3"/>
    <row r="41" spans="1:4" ht="12.75" customHeight="1" x14ac:dyDescent="0.3"/>
    <row r="42" spans="1:4" ht="12.75" customHeight="1" x14ac:dyDescent="0.3">
      <c r="A42" s="30" t="s">
        <v>79</v>
      </c>
    </row>
    <row r="43" spans="1:4" ht="12.75" customHeight="1" x14ac:dyDescent="0.3">
      <c r="A43" s="32" t="s">
        <v>8</v>
      </c>
      <c r="D43" s="34">
        <v>0.1</v>
      </c>
    </row>
    <row r="44" spans="1:4" ht="12.75" customHeight="1" x14ac:dyDescent="0.3">
      <c r="A44" s="32" t="s">
        <v>9</v>
      </c>
      <c r="D44" s="34">
        <v>0.15</v>
      </c>
    </row>
    <row r="45" spans="1:4" ht="12.75" customHeight="1" x14ac:dyDescent="0.3">
      <c r="A45" s="32" t="s">
        <v>10</v>
      </c>
      <c r="D45" s="34">
        <v>0.2</v>
      </c>
    </row>
    <row r="46" spans="1:4" ht="12.75" customHeight="1" x14ac:dyDescent="0.3">
      <c r="A46" s="32" t="s">
        <v>11</v>
      </c>
      <c r="D46" s="34">
        <v>0.25</v>
      </c>
    </row>
    <row r="47" spans="1:4" ht="12.75" customHeight="1" x14ac:dyDescent="0.3"/>
    <row r="48" spans="1:4" ht="12.75" customHeight="1" x14ac:dyDescent="0.3"/>
    <row r="49" s="29" customFormat="1" ht="12.75" customHeight="1" x14ac:dyDescent="0.3"/>
    <row r="50" s="29" customFormat="1" ht="12.75" customHeight="1" x14ac:dyDescent="0.3"/>
    <row r="51" s="29" customFormat="1" ht="12.75" customHeight="1" x14ac:dyDescent="0.3"/>
    <row r="52" s="29" customFormat="1" ht="12.75" customHeight="1" x14ac:dyDescent="0.3"/>
    <row r="53" s="29" customFormat="1" ht="12.75" customHeight="1" x14ac:dyDescent="0.3"/>
    <row r="54" s="29" customFormat="1" ht="12.75" customHeight="1" x14ac:dyDescent="0.3"/>
    <row r="55" s="29" customFormat="1" ht="12.75" customHeight="1" x14ac:dyDescent="0.3"/>
    <row r="56" s="29" customFormat="1" ht="12.75" customHeight="1" x14ac:dyDescent="0.3"/>
    <row r="57" s="29" customFormat="1" ht="12.75" customHeight="1" x14ac:dyDescent="0.3"/>
    <row r="58" s="29" customFormat="1" ht="12.75" customHeight="1" x14ac:dyDescent="0.3"/>
    <row r="59" s="29" customFormat="1" ht="12.75" customHeight="1" x14ac:dyDescent="0.3"/>
    <row r="60" s="29" customFormat="1" ht="12.75" customHeight="1" x14ac:dyDescent="0.3"/>
    <row r="61" s="29" customFormat="1" ht="12.75" customHeight="1" x14ac:dyDescent="0.3"/>
    <row r="62" s="29" customFormat="1" ht="12.75" customHeight="1" x14ac:dyDescent="0.3"/>
    <row r="63" s="29" customFormat="1" ht="12.75" customHeight="1" x14ac:dyDescent="0.3"/>
    <row r="64" s="29" customFormat="1" ht="12.75" customHeight="1" x14ac:dyDescent="0.3"/>
    <row r="65" s="29" customFormat="1" ht="12.75" customHeight="1" x14ac:dyDescent="0.3"/>
    <row r="66" s="29" customFormat="1" ht="12.75" customHeight="1" x14ac:dyDescent="0.3"/>
    <row r="67" s="29" customFormat="1" ht="12.75" customHeight="1" x14ac:dyDescent="0.3"/>
    <row r="68" s="29" customFormat="1" ht="12.75" customHeight="1" x14ac:dyDescent="0.3"/>
    <row r="69" s="29" customFormat="1" ht="12.75" customHeight="1" x14ac:dyDescent="0.3"/>
    <row r="70" s="29" customFormat="1" ht="12.75" customHeight="1" x14ac:dyDescent="0.3"/>
    <row r="71" s="29" customFormat="1" ht="12.75" customHeight="1" x14ac:dyDescent="0.3"/>
    <row r="72" s="29" customFormat="1" ht="12.75" customHeight="1" x14ac:dyDescent="0.3"/>
    <row r="73" s="29" customFormat="1" ht="12.75" customHeight="1" x14ac:dyDescent="0.3"/>
    <row r="74" s="29" customFormat="1" ht="12.75" customHeight="1" x14ac:dyDescent="0.3"/>
    <row r="75" s="29" customFormat="1" ht="12.75" customHeight="1" x14ac:dyDescent="0.3"/>
    <row r="76" s="29" customFormat="1" ht="12.75" customHeight="1" x14ac:dyDescent="0.3"/>
    <row r="77" s="29" customFormat="1" ht="12.75" customHeight="1" x14ac:dyDescent="0.3"/>
    <row r="78" s="29" customFormat="1" ht="12.75" customHeight="1" x14ac:dyDescent="0.3"/>
    <row r="79" s="29" customFormat="1" ht="12.75" customHeight="1" x14ac:dyDescent="0.3"/>
    <row r="80" s="29" customFormat="1" ht="12.75" customHeight="1" x14ac:dyDescent="0.3"/>
    <row r="81" s="29" customFormat="1" ht="12.75" customHeight="1" x14ac:dyDescent="0.3"/>
    <row r="82" s="29" customFormat="1" ht="12.75" customHeight="1" x14ac:dyDescent="0.3"/>
    <row r="83" s="29" customFormat="1" ht="12.75" customHeight="1" x14ac:dyDescent="0.3"/>
    <row r="84" s="29" customFormat="1" ht="12.75" customHeight="1" x14ac:dyDescent="0.3"/>
    <row r="85" s="29" customFormat="1" ht="12.75" customHeight="1" x14ac:dyDescent="0.3"/>
    <row r="86" s="29" customFormat="1" ht="12.75" customHeight="1" x14ac:dyDescent="0.3"/>
    <row r="87" s="29" customFormat="1" ht="12.75" customHeight="1" x14ac:dyDescent="0.3"/>
    <row r="88" s="29" customFormat="1" ht="12.75" customHeight="1" x14ac:dyDescent="0.3"/>
    <row r="89" s="29" customFormat="1" ht="12.75" customHeight="1" x14ac:dyDescent="0.3"/>
    <row r="90" s="29" customFormat="1" ht="12.75" customHeight="1" x14ac:dyDescent="0.3"/>
    <row r="91" s="29" customFormat="1" ht="12.75" customHeight="1" x14ac:dyDescent="0.3"/>
    <row r="92" s="29" customFormat="1" ht="12.75" customHeight="1" x14ac:dyDescent="0.3"/>
    <row r="93" s="29" customFormat="1" ht="12.75" customHeight="1" x14ac:dyDescent="0.3"/>
    <row r="94" s="29" customFormat="1" ht="12.75" customHeight="1" x14ac:dyDescent="0.3"/>
    <row r="95" s="29" customFormat="1" ht="12.75" customHeight="1" x14ac:dyDescent="0.3"/>
    <row r="96" s="29" customFormat="1" ht="12.75" customHeight="1" x14ac:dyDescent="0.3"/>
    <row r="97" s="29" customFormat="1" ht="12.75" customHeight="1" x14ac:dyDescent="0.3"/>
    <row r="98" s="29" customFormat="1" ht="12.75" customHeight="1" x14ac:dyDescent="0.3"/>
    <row r="99" s="29" customFormat="1" ht="12.75" customHeight="1" x14ac:dyDescent="0.3"/>
    <row r="100" s="29" customFormat="1" ht="12.75" customHeight="1" x14ac:dyDescent="0.3"/>
    <row r="101" s="29" customFormat="1" ht="12.75" customHeight="1" x14ac:dyDescent="0.3"/>
    <row r="102" s="29" customFormat="1" ht="12.75" customHeight="1" x14ac:dyDescent="0.3"/>
    <row r="103" s="29" customFormat="1" ht="12.75" customHeight="1" x14ac:dyDescent="0.3"/>
    <row r="104" s="29" customFormat="1" ht="12.75" customHeight="1" x14ac:dyDescent="0.3"/>
    <row r="105" s="29" customFormat="1" ht="12.75" customHeight="1" x14ac:dyDescent="0.3"/>
    <row r="106" s="29" customFormat="1" ht="12.75" customHeight="1" x14ac:dyDescent="0.3"/>
    <row r="107" s="29" customFormat="1" ht="12.75" customHeight="1" x14ac:dyDescent="0.3"/>
    <row r="108" s="29" customFormat="1" ht="12.75" customHeight="1" x14ac:dyDescent="0.3"/>
    <row r="109" s="29" customFormat="1" ht="12.75" customHeight="1" x14ac:dyDescent="0.3"/>
    <row r="110" s="29" customFormat="1" ht="12.75" customHeight="1" x14ac:dyDescent="0.3"/>
    <row r="111" s="29" customFormat="1" ht="12.75" customHeight="1" x14ac:dyDescent="0.3"/>
    <row r="112" s="29" customFormat="1" ht="12.75" customHeight="1" x14ac:dyDescent="0.3"/>
    <row r="113" s="29" customFormat="1" ht="12.75" customHeight="1" x14ac:dyDescent="0.3"/>
    <row r="114" s="29" customFormat="1" ht="12.75" customHeight="1" x14ac:dyDescent="0.3"/>
    <row r="115" s="29" customFormat="1" ht="12.75" customHeight="1" x14ac:dyDescent="0.3"/>
    <row r="116" s="29" customFormat="1" ht="12.75" customHeight="1" x14ac:dyDescent="0.3"/>
    <row r="117" s="29" customFormat="1" ht="12.75" customHeight="1" x14ac:dyDescent="0.3"/>
    <row r="118" s="29" customFormat="1" ht="12.75" customHeight="1" x14ac:dyDescent="0.3"/>
    <row r="119" s="29" customFormat="1" ht="12.75" customHeight="1" x14ac:dyDescent="0.3"/>
    <row r="120" s="29" customFormat="1" ht="12.75" customHeight="1" x14ac:dyDescent="0.3"/>
    <row r="121" s="29" customFormat="1" ht="12.75" customHeight="1" x14ac:dyDescent="0.3"/>
    <row r="122" s="29" customFormat="1" ht="12.75" customHeight="1" x14ac:dyDescent="0.3"/>
    <row r="123" s="29" customFormat="1" ht="12.75" customHeight="1" x14ac:dyDescent="0.3"/>
    <row r="124" s="29" customFormat="1" ht="12.75" customHeight="1" x14ac:dyDescent="0.3"/>
    <row r="125" s="29" customFormat="1" ht="12.75" customHeight="1" x14ac:dyDescent="0.3"/>
    <row r="126" s="29" customFormat="1" ht="12.75" customHeight="1" x14ac:dyDescent="0.3"/>
    <row r="127" s="29" customFormat="1" ht="12.75" customHeight="1" x14ac:dyDescent="0.3"/>
    <row r="128" s="29" customFormat="1" ht="12.75" customHeight="1" x14ac:dyDescent="0.3"/>
    <row r="129" s="29" customFormat="1" ht="12.75" customHeight="1" x14ac:dyDescent="0.3"/>
    <row r="130" s="29" customFormat="1" ht="12.75" customHeight="1" x14ac:dyDescent="0.3"/>
    <row r="131" s="29" customFormat="1" ht="12.75" customHeight="1" x14ac:dyDescent="0.3"/>
    <row r="132" s="29" customFormat="1" ht="12.75" customHeight="1" x14ac:dyDescent="0.3"/>
    <row r="133" s="29" customFormat="1" ht="12.75" customHeight="1" x14ac:dyDescent="0.3"/>
    <row r="134" s="29" customFormat="1" ht="12.75" customHeight="1" x14ac:dyDescent="0.3"/>
    <row r="135" s="29" customFormat="1" ht="12.75" customHeight="1" x14ac:dyDescent="0.3"/>
    <row r="136" s="29" customFormat="1" ht="12.75" customHeight="1" x14ac:dyDescent="0.3"/>
    <row r="137" s="29" customFormat="1" ht="12.75" customHeight="1" x14ac:dyDescent="0.3"/>
    <row r="138" s="29" customFormat="1" ht="12.75" customHeight="1" x14ac:dyDescent="0.3"/>
    <row r="139" s="29" customFormat="1" ht="12.75" customHeight="1" x14ac:dyDescent="0.3"/>
    <row r="140" s="29" customFormat="1" ht="12.75" customHeight="1" x14ac:dyDescent="0.3"/>
    <row r="141" s="29" customFormat="1" ht="12.75" customHeight="1" x14ac:dyDescent="0.3"/>
    <row r="142" s="29" customFormat="1" ht="12.75" customHeight="1" x14ac:dyDescent="0.3"/>
    <row r="143" s="29" customFormat="1" ht="12.75" customHeight="1" x14ac:dyDescent="0.3"/>
    <row r="144" s="29" customFormat="1" ht="12.75" customHeight="1" x14ac:dyDescent="0.3"/>
    <row r="145" s="29" customFormat="1" ht="12.75" customHeight="1" x14ac:dyDescent="0.3"/>
    <row r="146" s="29" customFormat="1" ht="12.75" customHeight="1" x14ac:dyDescent="0.3"/>
    <row r="147" s="29" customFormat="1" ht="12.75" customHeight="1" x14ac:dyDescent="0.3"/>
    <row r="148" s="29" customFormat="1" ht="12.75" customHeight="1" x14ac:dyDescent="0.3"/>
    <row r="149" s="29" customFormat="1" ht="12.75" customHeight="1" x14ac:dyDescent="0.3"/>
    <row r="150" s="29" customFormat="1" ht="12.75" customHeight="1" x14ac:dyDescent="0.3"/>
    <row r="151" s="29" customFormat="1" ht="12.75" customHeight="1" x14ac:dyDescent="0.3"/>
    <row r="152" s="29" customFormat="1" ht="12.75" customHeight="1" x14ac:dyDescent="0.3"/>
    <row r="153" s="29" customFormat="1" ht="12.75" customHeight="1" x14ac:dyDescent="0.3"/>
    <row r="154" s="29" customFormat="1" ht="12.75" customHeight="1" x14ac:dyDescent="0.3"/>
    <row r="155" s="29" customFormat="1" ht="12.75" customHeight="1" x14ac:dyDescent="0.3"/>
    <row r="156" s="29" customFormat="1" ht="12.75" customHeight="1" x14ac:dyDescent="0.3"/>
    <row r="157" s="29" customFormat="1" ht="12.75" customHeight="1" x14ac:dyDescent="0.3"/>
    <row r="158" s="29" customFormat="1" ht="12.75" customHeight="1" x14ac:dyDescent="0.3"/>
    <row r="159" s="29" customFormat="1" ht="12.75" customHeight="1" x14ac:dyDescent="0.3"/>
    <row r="160" s="29" customFormat="1" ht="12.75" customHeight="1" x14ac:dyDescent="0.3"/>
    <row r="161" s="29" customFormat="1" ht="12.75" customHeight="1" x14ac:dyDescent="0.3"/>
    <row r="162" s="29" customFormat="1" ht="12.75" customHeight="1" x14ac:dyDescent="0.3"/>
    <row r="163" s="29" customFormat="1" ht="12.75" customHeight="1" x14ac:dyDescent="0.3"/>
    <row r="164" s="29" customFormat="1" ht="12.75" customHeight="1" x14ac:dyDescent="0.3"/>
    <row r="165" s="29" customFormat="1" ht="12.75" customHeight="1" x14ac:dyDescent="0.3"/>
    <row r="166" s="29" customFormat="1" ht="12.75" customHeight="1" x14ac:dyDescent="0.3"/>
    <row r="167" s="29" customFormat="1" ht="12.75" customHeight="1" x14ac:dyDescent="0.3"/>
    <row r="168" s="29" customFormat="1" ht="12.75" customHeight="1" x14ac:dyDescent="0.3"/>
    <row r="169" s="29" customFormat="1" ht="12.75" customHeight="1" x14ac:dyDescent="0.3"/>
    <row r="170" s="29" customFormat="1" ht="12.75" customHeight="1" x14ac:dyDescent="0.3"/>
    <row r="171" s="29" customFormat="1" ht="12.75" customHeight="1" x14ac:dyDescent="0.3"/>
    <row r="172" s="29" customFormat="1" ht="12.75" customHeight="1" x14ac:dyDescent="0.3"/>
    <row r="173" s="29" customFormat="1" ht="12.75" customHeight="1" x14ac:dyDescent="0.3"/>
    <row r="174" s="29" customFormat="1" ht="12.75" customHeight="1" x14ac:dyDescent="0.3"/>
    <row r="175" s="29" customFormat="1" ht="12.75" customHeight="1" x14ac:dyDescent="0.3"/>
    <row r="176" s="29" customFormat="1" ht="12.75" customHeight="1" x14ac:dyDescent="0.3"/>
    <row r="177" s="29" customFormat="1" ht="12.75" customHeight="1" x14ac:dyDescent="0.3"/>
    <row r="178" s="29" customFormat="1" ht="12.75" customHeight="1" x14ac:dyDescent="0.3"/>
    <row r="179" s="29" customFormat="1" ht="12.75" customHeight="1" x14ac:dyDescent="0.3"/>
    <row r="180" s="29" customFormat="1" ht="12.75" customHeight="1" x14ac:dyDescent="0.3"/>
    <row r="181" s="29" customFormat="1" ht="12.75" customHeight="1" x14ac:dyDescent="0.3"/>
    <row r="182" s="29" customFormat="1" ht="12.75" customHeight="1" x14ac:dyDescent="0.3"/>
    <row r="183" s="29" customFormat="1" ht="12.75" customHeight="1" x14ac:dyDescent="0.3"/>
    <row r="184" s="29" customFormat="1" ht="12.75" customHeight="1" x14ac:dyDescent="0.3"/>
    <row r="185" s="29" customFormat="1" ht="12.75" customHeight="1" x14ac:dyDescent="0.3"/>
    <row r="186" s="29" customFormat="1" ht="12.75" customHeight="1" x14ac:dyDescent="0.3"/>
    <row r="187" s="29" customFormat="1" ht="12.75" customHeight="1" x14ac:dyDescent="0.3"/>
    <row r="188" s="29" customFormat="1" ht="12.75" customHeight="1" x14ac:dyDescent="0.3"/>
    <row r="189" s="29" customFormat="1" ht="12.75" customHeight="1" x14ac:dyDescent="0.3"/>
    <row r="190" s="29" customFormat="1" ht="12.75" customHeight="1" x14ac:dyDescent="0.3"/>
    <row r="191" s="29" customFormat="1" ht="12.75" customHeight="1" x14ac:dyDescent="0.3"/>
    <row r="192" s="29" customFormat="1" ht="12.75" customHeight="1" x14ac:dyDescent="0.3"/>
    <row r="193" s="29" customFormat="1" ht="12.75" customHeight="1" x14ac:dyDescent="0.3"/>
    <row r="194" s="29" customFormat="1" ht="12.75" customHeight="1" x14ac:dyDescent="0.3"/>
    <row r="195" s="29" customFormat="1" ht="12.75" customHeight="1" x14ac:dyDescent="0.3"/>
    <row r="196" s="29" customFormat="1" ht="12.75" customHeight="1" x14ac:dyDescent="0.3"/>
    <row r="197" s="29" customFormat="1" ht="12.75" customHeight="1" x14ac:dyDescent="0.3"/>
    <row r="198" s="29" customFormat="1" ht="12.75" customHeight="1" x14ac:dyDescent="0.3"/>
    <row r="199" s="29" customFormat="1" ht="12.75" customHeight="1" x14ac:dyDescent="0.3"/>
    <row r="200" s="29" customFormat="1" ht="12.75" customHeight="1" x14ac:dyDescent="0.3"/>
    <row r="201" s="29" customFormat="1" ht="12.75" customHeight="1" x14ac:dyDescent="0.3"/>
    <row r="202" s="29" customFormat="1" ht="12.75" customHeight="1" x14ac:dyDescent="0.3"/>
    <row r="203" s="29" customFormat="1" ht="12.75" customHeight="1" x14ac:dyDescent="0.3"/>
    <row r="204" s="29" customFormat="1" ht="12.75" customHeight="1" x14ac:dyDescent="0.3"/>
    <row r="205" s="29" customFormat="1" ht="12.75" customHeight="1" x14ac:dyDescent="0.3"/>
    <row r="206" s="29" customFormat="1" ht="12.75" customHeight="1" x14ac:dyDescent="0.3"/>
    <row r="207" s="29" customFormat="1" ht="12.75" customHeight="1" x14ac:dyDescent="0.3"/>
    <row r="208" s="29" customFormat="1" ht="12.75" customHeight="1" x14ac:dyDescent="0.3"/>
    <row r="209" s="29" customFormat="1" ht="12.75" customHeight="1" x14ac:dyDescent="0.3"/>
    <row r="210" s="29" customFormat="1" ht="12.75" customHeight="1" x14ac:dyDescent="0.3"/>
    <row r="211" s="29" customFormat="1" ht="12.75" customHeight="1" x14ac:dyDescent="0.3"/>
    <row r="212" s="29" customFormat="1" ht="12.75" customHeight="1" x14ac:dyDescent="0.3"/>
    <row r="213" s="29" customFormat="1" ht="12.75" customHeight="1" x14ac:dyDescent="0.3"/>
    <row r="214" s="29" customFormat="1" ht="12.75" customHeight="1" x14ac:dyDescent="0.3"/>
    <row r="215" s="29" customFormat="1" ht="12.75" customHeight="1" x14ac:dyDescent="0.3"/>
    <row r="216" s="29" customFormat="1" ht="12.75" customHeight="1" x14ac:dyDescent="0.3"/>
    <row r="217" s="29" customFormat="1" ht="12.75" customHeight="1" x14ac:dyDescent="0.3"/>
    <row r="218" s="29" customFormat="1" ht="12.75" customHeight="1" x14ac:dyDescent="0.3"/>
    <row r="219" s="29" customFormat="1" ht="12.75" customHeight="1" x14ac:dyDescent="0.3"/>
    <row r="220" s="29" customFormat="1" ht="12.75" customHeight="1" x14ac:dyDescent="0.3"/>
    <row r="221" s="29" customFormat="1" ht="12.75" customHeight="1" x14ac:dyDescent="0.3"/>
    <row r="222" s="29" customFormat="1" ht="12.75" customHeight="1" x14ac:dyDescent="0.3"/>
    <row r="223" s="29" customFormat="1" ht="12.75" customHeight="1" x14ac:dyDescent="0.3"/>
    <row r="224" s="29" customFormat="1" ht="12.75" customHeight="1" x14ac:dyDescent="0.3"/>
    <row r="225" s="29" customFormat="1" ht="12.75" customHeight="1" x14ac:dyDescent="0.3"/>
    <row r="226" s="29" customFormat="1" ht="12.75" customHeight="1" x14ac:dyDescent="0.3"/>
    <row r="227" s="29" customFormat="1" ht="12.75" customHeight="1" x14ac:dyDescent="0.3"/>
    <row r="228" s="29" customFormat="1" ht="12.75" customHeight="1" x14ac:dyDescent="0.3"/>
    <row r="229" s="29" customFormat="1" ht="12.75" customHeight="1" x14ac:dyDescent="0.3"/>
    <row r="230" s="29" customFormat="1" ht="12.75" customHeight="1" x14ac:dyDescent="0.3"/>
    <row r="231" s="29" customFormat="1" ht="12.75" customHeight="1" x14ac:dyDescent="0.3"/>
    <row r="232" s="29" customFormat="1" ht="12.75" customHeight="1" x14ac:dyDescent="0.3"/>
    <row r="233" s="29" customFormat="1" ht="12.75" customHeight="1" x14ac:dyDescent="0.3"/>
    <row r="234" s="29" customFormat="1" ht="12.75" customHeight="1" x14ac:dyDescent="0.3"/>
    <row r="235" s="29" customFormat="1" ht="12.75" customHeight="1" x14ac:dyDescent="0.3"/>
    <row r="236" s="29" customFormat="1" ht="12.75" customHeight="1" x14ac:dyDescent="0.3"/>
    <row r="237" s="29" customFormat="1" ht="12.75" customHeight="1" x14ac:dyDescent="0.3"/>
    <row r="238" s="29" customFormat="1" ht="12.75" customHeight="1" x14ac:dyDescent="0.3"/>
    <row r="239" s="29" customFormat="1" ht="12.75" customHeight="1" x14ac:dyDescent="0.3"/>
    <row r="240" s="29" customFormat="1" ht="12.75" customHeight="1" x14ac:dyDescent="0.3"/>
    <row r="241" s="29" customFormat="1" ht="12.75" customHeight="1" x14ac:dyDescent="0.3"/>
    <row r="242" s="29" customFormat="1" ht="12.75" customHeight="1" x14ac:dyDescent="0.3"/>
    <row r="243" s="29" customFormat="1" ht="12.75" customHeight="1" x14ac:dyDescent="0.3"/>
    <row r="244" s="29" customFormat="1" ht="12.75" customHeight="1" x14ac:dyDescent="0.3"/>
    <row r="245" s="29" customFormat="1" ht="12.75" customHeight="1" x14ac:dyDescent="0.3"/>
    <row r="246" s="29" customFormat="1" ht="12.75" customHeight="1" x14ac:dyDescent="0.3"/>
    <row r="247" s="29" customFormat="1" ht="15.75" customHeight="1" x14ac:dyDescent="0.3"/>
    <row r="248" s="29" customFormat="1" ht="15.75" customHeight="1" x14ac:dyDescent="0.3"/>
    <row r="249" s="29" customFormat="1" ht="15.75" customHeight="1" x14ac:dyDescent="0.3"/>
    <row r="250" s="29" customFormat="1" ht="15.75" customHeight="1" x14ac:dyDescent="0.3"/>
    <row r="251" s="29" customFormat="1" ht="15.75" customHeight="1" x14ac:dyDescent="0.3"/>
    <row r="252" s="29" customFormat="1" ht="15.75" customHeight="1" x14ac:dyDescent="0.3"/>
    <row r="253" s="29" customFormat="1" ht="15.75" customHeight="1" x14ac:dyDescent="0.3"/>
    <row r="254" s="29" customFormat="1" ht="15.75" customHeight="1" x14ac:dyDescent="0.3"/>
    <row r="255" s="29" customFormat="1" ht="15.75" customHeight="1" x14ac:dyDescent="0.3"/>
    <row r="256" s="29" customFormat="1" ht="15.75" customHeight="1" x14ac:dyDescent="0.3"/>
    <row r="257" s="29" customFormat="1" ht="15.75" customHeight="1" x14ac:dyDescent="0.3"/>
    <row r="258" s="29" customFormat="1" ht="15.75" customHeight="1" x14ac:dyDescent="0.3"/>
    <row r="259" s="29" customFormat="1" ht="15.75" customHeight="1" x14ac:dyDescent="0.3"/>
    <row r="260" s="29" customFormat="1" ht="15.75" customHeight="1" x14ac:dyDescent="0.3"/>
    <row r="261" s="29" customFormat="1" ht="15.75" customHeight="1" x14ac:dyDescent="0.3"/>
    <row r="262" s="29" customFormat="1" ht="15.75" customHeight="1" x14ac:dyDescent="0.3"/>
    <row r="263" s="29" customFormat="1" ht="15.75" customHeight="1" x14ac:dyDescent="0.3"/>
    <row r="264" s="29" customFormat="1" ht="15.75" customHeight="1" x14ac:dyDescent="0.3"/>
    <row r="265" s="29" customFormat="1" ht="15.75" customHeight="1" x14ac:dyDescent="0.3"/>
    <row r="266" s="29" customFormat="1" ht="15.75" customHeight="1" x14ac:dyDescent="0.3"/>
    <row r="267" s="29" customFormat="1" ht="15.75" customHeight="1" x14ac:dyDescent="0.3"/>
    <row r="268" s="29" customFormat="1" ht="15.75" customHeight="1" x14ac:dyDescent="0.3"/>
    <row r="269" s="29" customFormat="1" ht="15.75" customHeight="1" x14ac:dyDescent="0.3"/>
    <row r="270" s="29" customFormat="1" ht="15.75" customHeight="1" x14ac:dyDescent="0.3"/>
    <row r="271" s="29" customFormat="1" ht="15.75" customHeight="1" x14ac:dyDescent="0.3"/>
    <row r="272" s="29" customFormat="1" ht="15.75" customHeight="1" x14ac:dyDescent="0.3"/>
    <row r="273" s="29" customFormat="1" ht="15.75" customHeight="1" x14ac:dyDescent="0.3"/>
    <row r="274" s="29" customFormat="1" ht="15.75" customHeight="1" x14ac:dyDescent="0.3"/>
    <row r="275" s="29" customFormat="1" ht="15.75" customHeight="1" x14ac:dyDescent="0.3"/>
    <row r="276" s="29" customFormat="1" ht="15.75" customHeight="1" x14ac:dyDescent="0.3"/>
    <row r="277" s="29" customFormat="1" ht="15.75" customHeight="1" x14ac:dyDescent="0.3"/>
    <row r="278" s="29" customFormat="1" ht="15.75" customHeight="1" x14ac:dyDescent="0.3"/>
    <row r="279" s="29" customFormat="1" ht="15.75" customHeight="1" x14ac:dyDescent="0.3"/>
    <row r="280" s="29" customFormat="1" ht="15.75" customHeight="1" x14ac:dyDescent="0.3"/>
    <row r="281" s="29" customFormat="1" ht="15.75" customHeight="1" x14ac:dyDescent="0.3"/>
    <row r="282" s="29" customFormat="1" ht="15.75" customHeight="1" x14ac:dyDescent="0.3"/>
    <row r="283" s="29" customFormat="1" ht="15.75" customHeight="1" x14ac:dyDescent="0.3"/>
    <row r="284" s="29" customFormat="1" ht="15.75" customHeight="1" x14ac:dyDescent="0.3"/>
    <row r="285" s="29" customFormat="1" ht="15.75" customHeight="1" x14ac:dyDescent="0.3"/>
    <row r="286" s="29" customFormat="1" ht="15.75" customHeight="1" x14ac:dyDescent="0.3"/>
    <row r="287" s="29" customFormat="1" ht="15.75" customHeight="1" x14ac:dyDescent="0.3"/>
    <row r="288" s="29" customFormat="1" ht="15.75" customHeight="1" x14ac:dyDescent="0.3"/>
    <row r="289" s="29" customFormat="1" ht="15.75" customHeight="1" x14ac:dyDescent="0.3"/>
    <row r="290" s="29" customFormat="1" ht="15.75" customHeight="1" x14ac:dyDescent="0.3"/>
    <row r="291" s="29" customFormat="1" ht="15.75" customHeight="1" x14ac:dyDescent="0.3"/>
    <row r="292" s="29" customFormat="1" ht="15.75" customHeight="1" x14ac:dyDescent="0.3"/>
    <row r="293" s="29" customFormat="1" ht="15.75" customHeight="1" x14ac:dyDescent="0.3"/>
    <row r="294" s="29" customFormat="1" ht="15.75" customHeight="1" x14ac:dyDescent="0.3"/>
    <row r="295" s="29" customFormat="1" ht="15.75" customHeight="1" x14ac:dyDescent="0.3"/>
    <row r="296" s="29" customFormat="1" ht="15.75" customHeight="1" x14ac:dyDescent="0.3"/>
    <row r="297" s="29" customFormat="1" ht="15.75" customHeight="1" x14ac:dyDescent="0.3"/>
    <row r="298" s="29" customFormat="1" ht="15.75" customHeight="1" x14ac:dyDescent="0.3"/>
    <row r="299" s="29" customFormat="1" ht="15.75" customHeight="1" x14ac:dyDescent="0.3"/>
    <row r="300" s="29" customFormat="1" ht="15.75" customHeight="1" x14ac:dyDescent="0.3"/>
    <row r="301" s="29" customFormat="1" ht="15.75" customHeight="1" x14ac:dyDescent="0.3"/>
    <row r="302" s="29" customFormat="1" ht="15.75" customHeight="1" x14ac:dyDescent="0.3"/>
    <row r="303" s="29" customFormat="1" ht="15.75" customHeight="1" x14ac:dyDescent="0.3"/>
    <row r="304" s="29" customFormat="1" ht="15.75" customHeight="1" x14ac:dyDescent="0.3"/>
    <row r="305" s="29" customFormat="1" ht="15.75" customHeight="1" x14ac:dyDescent="0.3"/>
    <row r="306" s="29" customFormat="1" ht="15.75" customHeight="1" x14ac:dyDescent="0.3"/>
    <row r="307" s="29" customFormat="1" ht="15.75" customHeight="1" x14ac:dyDescent="0.3"/>
    <row r="308" s="29" customFormat="1" ht="15.75" customHeight="1" x14ac:dyDescent="0.3"/>
    <row r="309" s="29" customFormat="1" ht="15.75" customHeight="1" x14ac:dyDescent="0.3"/>
    <row r="310" s="29" customFormat="1" ht="15.75" customHeight="1" x14ac:dyDescent="0.3"/>
    <row r="311" s="29" customFormat="1" ht="15.75" customHeight="1" x14ac:dyDescent="0.3"/>
    <row r="312" s="29" customFormat="1" ht="15.75" customHeight="1" x14ac:dyDescent="0.3"/>
    <row r="313" s="29" customFormat="1" ht="15.75" customHeight="1" x14ac:dyDescent="0.3"/>
    <row r="314" s="29" customFormat="1" ht="15.75" customHeight="1" x14ac:dyDescent="0.3"/>
    <row r="315" s="29" customFormat="1" ht="15.75" customHeight="1" x14ac:dyDescent="0.3"/>
    <row r="316" s="29" customFormat="1" ht="15.75" customHeight="1" x14ac:dyDescent="0.3"/>
    <row r="317" s="29" customFormat="1" ht="15.75" customHeight="1" x14ac:dyDescent="0.3"/>
    <row r="318" s="29" customFormat="1" ht="15.75" customHeight="1" x14ac:dyDescent="0.3"/>
    <row r="319" s="29" customFormat="1" ht="15.75" customHeight="1" x14ac:dyDescent="0.3"/>
    <row r="320" s="29" customFormat="1" ht="15.75" customHeight="1" x14ac:dyDescent="0.3"/>
    <row r="321" s="29" customFormat="1" ht="15.75" customHeight="1" x14ac:dyDescent="0.3"/>
    <row r="322" s="29" customFormat="1" ht="15.75" customHeight="1" x14ac:dyDescent="0.3"/>
    <row r="323" s="29" customFormat="1" ht="15.75" customHeight="1" x14ac:dyDescent="0.3"/>
    <row r="324" s="29" customFormat="1" ht="15.75" customHeight="1" x14ac:dyDescent="0.3"/>
    <row r="325" s="29" customFormat="1" ht="15.75" customHeight="1" x14ac:dyDescent="0.3"/>
    <row r="326" s="29" customFormat="1" ht="15.75" customHeight="1" x14ac:dyDescent="0.3"/>
    <row r="327" s="29" customFormat="1" ht="15.75" customHeight="1" x14ac:dyDescent="0.3"/>
    <row r="328" s="29" customFormat="1" ht="15.75" customHeight="1" x14ac:dyDescent="0.3"/>
    <row r="329" s="29" customFormat="1" ht="15.75" customHeight="1" x14ac:dyDescent="0.3"/>
    <row r="330" s="29" customFormat="1" ht="15.75" customHeight="1" x14ac:dyDescent="0.3"/>
    <row r="331" s="29" customFormat="1" ht="15.75" customHeight="1" x14ac:dyDescent="0.3"/>
    <row r="332" s="29" customFormat="1" ht="15.75" customHeight="1" x14ac:dyDescent="0.3"/>
    <row r="333" s="29" customFormat="1" ht="15.75" customHeight="1" x14ac:dyDescent="0.3"/>
    <row r="334" s="29" customFormat="1" ht="15.75" customHeight="1" x14ac:dyDescent="0.3"/>
    <row r="335" s="29" customFormat="1" ht="15.75" customHeight="1" x14ac:dyDescent="0.3"/>
    <row r="336" s="29" customFormat="1" ht="15.75" customHeight="1" x14ac:dyDescent="0.3"/>
    <row r="337" s="29" customFormat="1" ht="15.75" customHeight="1" x14ac:dyDescent="0.3"/>
    <row r="338" s="29" customFormat="1" ht="15.75" customHeight="1" x14ac:dyDescent="0.3"/>
    <row r="339" s="29" customFormat="1" ht="15.75" customHeight="1" x14ac:dyDescent="0.3"/>
    <row r="340" s="29" customFormat="1" ht="15.75" customHeight="1" x14ac:dyDescent="0.3"/>
    <row r="341" s="29" customFormat="1" ht="15.75" customHeight="1" x14ac:dyDescent="0.3"/>
    <row r="342" s="29" customFormat="1" ht="15.75" customHeight="1" x14ac:dyDescent="0.3"/>
    <row r="343" s="29" customFormat="1" ht="15.75" customHeight="1" x14ac:dyDescent="0.3"/>
    <row r="344" s="29" customFormat="1" ht="15.75" customHeight="1" x14ac:dyDescent="0.3"/>
    <row r="345" s="29" customFormat="1" ht="15.75" customHeight="1" x14ac:dyDescent="0.3"/>
    <row r="346" s="29" customFormat="1" ht="15.75" customHeight="1" x14ac:dyDescent="0.3"/>
    <row r="347" s="29" customFormat="1" ht="15.75" customHeight="1" x14ac:dyDescent="0.3"/>
    <row r="348" s="29" customFormat="1" ht="15.75" customHeight="1" x14ac:dyDescent="0.3"/>
    <row r="349" s="29" customFormat="1" ht="15.75" customHeight="1" x14ac:dyDescent="0.3"/>
    <row r="350" s="29" customFormat="1" ht="15.75" customHeight="1" x14ac:dyDescent="0.3"/>
    <row r="351" s="29" customFormat="1" ht="15.75" customHeight="1" x14ac:dyDescent="0.3"/>
    <row r="352" s="29" customFormat="1" ht="15.75" customHeight="1" x14ac:dyDescent="0.3"/>
    <row r="353" s="29" customFormat="1" ht="15.75" customHeight="1" x14ac:dyDescent="0.3"/>
    <row r="354" s="29" customFormat="1" ht="15.75" customHeight="1" x14ac:dyDescent="0.3"/>
    <row r="355" s="29" customFormat="1" ht="15.75" customHeight="1" x14ac:dyDescent="0.3"/>
    <row r="356" s="29" customFormat="1" ht="15.75" customHeight="1" x14ac:dyDescent="0.3"/>
    <row r="357" s="29" customFormat="1" ht="15.75" customHeight="1" x14ac:dyDescent="0.3"/>
    <row r="358" s="29" customFormat="1" ht="15.75" customHeight="1" x14ac:dyDescent="0.3"/>
    <row r="359" s="29" customFormat="1" ht="15.75" customHeight="1" x14ac:dyDescent="0.3"/>
    <row r="360" s="29" customFormat="1" ht="15.75" customHeight="1" x14ac:dyDescent="0.3"/>
    <row r="361" s="29" customFormat="1" ht="15.75" customHeight="1" x14ac:dyDescent="0.3"/>
    <row r="362" s="29" customFormat="1" ht="15.75" customHeight="1" x14ac:dyDescent="0.3"/>
    <row r="363" s="29" customFormat="1" ht="15.75" customHeight="1" x14ac:dyDescent="0.3"/>
    <row r="364" s="29" customFormat="1" ht="15.75" customHeight="1" x14ac:dyDescent="0.3"/>
    <row r="365" s="29" customFormat="1" ht="15.75" customHeight="1" x14ac:dyDescent="0.3"/>
    <row r="366" s="29" customFormat="1" ht="15.75" customHeight="1" x14ac:dyDescent="0.3"/>
    <row r="367" s="29" customFormat="1" ht="15.75" customHeight="1" x14ac:dyDescent="0.3"/>
    <row r="368" s="29" customFormat="1" ht="15.75" customHeight="1" x14ac:dyDescent="0.3"/>
    <row r="369" s="29" customFormat="1" ht="15.75" customHeight="1" x14ac:dyDescent="0.3"/>
    <row r="370" s="29" customFormat="1" ht="15.75" customHeight="1" x14ac:dyDescent="0.3"/>
    <row r="371" s="29" customFormat="1" ht="15.75" customHeight="1" x14ac:dyDescent="0.3"/>
    <row r="372" s="29" customFormat="1" ht="15.75" customHeight="1" x14ac:dyDescent="0.3"/>
    <row r="373" s="29" customFormat="1" ht="15.75" customHeight="1" x14ac:dyDescent="0.3"/>
    <row r="374" s="29" customFormat="1" ht="15.75" customHeight="1" x14ac:dyDescent="0.3"/>
    <row r="375" s="29" customFormat="1" ht="15.75" customHeight="1" x14ac:dyDescent="0.3"/>
    <row r="376" s="29" customFormat="1" ht="15.75" customHeight="1" x14ac:dyDescent="0.3"/>
    <row r="377" s="29" customFormat="1" ht="15.75" customHeight="1" x14ac:dyDescent="0.3"/>
    <row r="378" s="29" customFormat="1" ht="15.75" customHeight="1" x14ac:dyDescent="0.3"/>
    <row r="379" s="29" customFormat="1" ht="15.75" customHeight="1" x14ac:dyDescent="0.3"/>
    <row r="380" s="29" customFormat="1" ht="15.75" customHeight="1" x14ac:dyDescent="0.3"/>
    <row r="381" s="29" customFormat="1" ht="15.75" customHeight="1" x14ac:dyDescent="0.3"/>
    <row r="382" s="29" customFormat="1" ht="15.75" customHeight="1" x14ac:dyDescent="0.3"/>
    <row r="383" s="29" customFormat="1" ht="15.75" customHeight="1" x14ac:dyDescent="0.3"/>
    <row r="384" s="29" customFormat="1" ht="15.75" customHeight="1" x14ac:dyDescent="0.3"/>
    <row r="385" s="29" customFormat="1" ht="15.75" customHeight="1" x14ac:dyDescent="0.3"/>
    <row r="386" s="29" customFormat="1" ht="15.75" customHeight="1" x14ac:dyDescent="0.3"/>
    <row r="387" s="29" customFormat="1" ht="15.75" customHeight="1" x14ac:dyDescent="0.3"/>
    <row r="388" s="29" customFormat="1" ht="15.75" customHeight="1" x14ac:dyDescent="0.3"/>
    <row r="389" s="29" customFormat="1" ht="15.75" customHeight="1" x14ac:dyDescent="0.3"/>
    <row r="390" s="29" customFormat="1" ht="15.75" customHeight="1" x14ac:dyDescent="0.3"/>
    <row r="391" s="29" customFormat="1" ht="15.75" customHeight="1" x14ac:dyDescent="0.3"/>
    <row r="392" s="29" customFormat="1" ht="15.75" customHeight="1" x14ac:dyDescent="0.3"/>
    <row r="393" s="29" customFormat="1" ht="15.75" customHeight="1" x14ac:dyDescent="0.3"/>
    <row r="394" s="29" customFormat="1" ht="15.75" customHeight="1" x14ac:dyDescent="0.3"/>
    <row r="395" s="29" customFormat="1" ht="15.75" customHeight="1" x14ac:dyDescent="0.3"/>
    <row r="396" s="29" customFormat="1" ht="15.75" customHeight="1" x14ac:dyDescent="0.3"/>
    <row r="397" s="29" customFormat="1" ht="15.75" customHeight="1" x14ac:dyDescent="0.3"/>
    <row r="398" s="29" customFormat="1" ht="15.75" customHeight="1" x14ac:dyDescent="0.3"/>
    <row r="399" s="29" customFormat="1" ht="15.75" customHeight="1" x14ac:dyDescent="0.3"/>
    <row r="400" s="29" customFormat="1" ht="15.75" customHeight="1" x14ac:dyDescent="0.3"/>
    <row r="401" s="29" customFormat="1" ht="15.75" customHeight="1" x14ac:dyDescent="0.3"/>
    <row r="402" s="29" customFormat="1" ht="15.75" customHeight="1" x14ac:dyDescent="0.3"/>
    <row r="403" s="29" customFormat="1" ht="15.75" customHeight="1" x14ac:dyDescent="0.3"/>
    <row r="404" s="29" customFormat="1" ht="15.75" customHeight="1" x14ac:dyDescent="0.3"/>
    <row r="405" s="29" customFormat="1" ht="15.75" customHeight="1" x14ac:dyDescent="0.3"/>
    <row r="406" s="29" customFormat="1" ht="15.75" customHeight="1" x14ac:dyDescent="0.3"/>
    <row r="407" s="29" customFormat="1" ht="15.75" customHeight="1" x14ac:dyDescent="0.3"/>
    <row r="408" s="29" customFormat="1" ht="15.75" customHeight="1" x14ac:dyDescent="0.3"/>
    <row r="409" s="29" customFormat="1" ht="15.75" customHeight="1" x14ac:dyDescent="0.3"/>
    <row r="410" s="29" customFormat="1" ht="15.75" customHeight="1" x14ac:dyDescent="0.3"/>
    <row r="411" s="29" customFormat="1" ht="15.75" customHeight="1" x14ac:dyDescent="0.3"/>
    <row r="412" s="29" customFormat="1" ht="15.75" customHeight="1" x14ac:dyDescent="0.3"/>
    <row r="413" s="29" customFormat="1" ht="15.75" customHeight="1" x14ac:dyDescent="0.3"/>
    <row r="414" s="29" customFormat="1" ht="15.75" customHeight="1" x14ac:dyDescent="0.3"/>
    <row r="415" s="29" customFormat="1" ht="15.75" customHeight="1" x14ac:dyDescent="0.3"/>
    <row r="416" s="29" customFormat="1" ht="15.75" customHeight="1" x14ac:dyDescent="0.3"/>
    <row r="417" s="29" customFormat="1" ht="15.75" customHeight="1" x14ac:dyDescent="0.3"/>
    <row r="418" s="29" customFormat="1" ht="15.75" customHeight="1" x14ac:dyDescent="0.3"/>
    <row r="419" s="29" customFormat="1" ht="15.75" customHeight="1" x14ac:dyDescent="0.3"/>
    <row r="420" s="29" customFormat="1" ht="15.75" customHeight="1" x14ac:dyDescent="0.3"/>
    <row r="421" s="29" customFormat="1" ht="15.75" customHeight="1" x14ac:dyDescent="0.3"/>
    <row r="422" s="29" customFormat="1" ht="15.75" customHeight="1" x14ac:dyDescent="0.3"/>
    <row r="423" s="29" customFormat="1" ht="15.75" customHeight="1" x14ac:dyDescent="0.3"/>
    <row r="424" s="29" customFormat="1" ht="15.75" customHeight="1" x14ac:dyDescent="0.3"/>
    <row r="425" s="29" customFormat="1" ht="15.75" customHeight="1" x14ac:dyDescent="0.3"/>
    <row r="426" s="29" customFormat="1" ht="15.75" customHeight="1" x14ac:dyDescent="0.3"/>
    <row r="427" s="29" customFormat="1" ht="15.75" customHeight="1" x14ac:dyDescent="0.3"/>
    <row r="428" s="29" customFormat="1" ht="15.75" customHeight="1" x14ac:dyDescent="0.3"/>
    <row r="429" s="29" customFormat="1" ht="15.75" customHeight="1" x14ac:dyDescent="0.3"/>
    <row r="430" s="29" customFormat="1" ht="15.75" customHeight="1" x14ac:dyDescent="0.3"/>
    <row r="431" s="29" customFormat="1" ht="15.75" customHeight="1" x14ac:dyDescent="0.3"/>
    <row r="432" s="29" customFormat="1" ht="15.75" customHeight="1" x14ac:dyDescent="0.3"/>
    <row r="433" s="29" customFormat="1" ht="15.75" customHeight="1" x14ac:dyDescent="0.3"/>
    <row r="434" s="29" customFormat="1" ht="15.75" customHeight="1" x14ac:dyDescent="0.3"/>
    <row r="435" s="29" customFormat="1" ht="15.75" customHeight="1" x14ac:dyDescent="0.3"/>
    <row r="436" s="29" customFormat="1" ht="15.75" customHeight="1" x14ac:dyDescent="0.3"/>
    <row r="437" s="29" customFormat="1" ht="15.75" customHeight="1" x14ac:dyDescent="0.3"/>
    <row r="438" s="29" customFormat="1" ht="15.75" customHeight="1" x14ac:dyDescent="0.3"/>
    <row r="439" s="29" customFormat="1" ht="15.75" customHeight="1" x14ac:dyDescent="0.3"/>
    <row r="440" s="29" customFormat="1" ht="15.75" customHeight="1" x14ac:dyDescent="0.3"/>
    <row r="441" s="29" customFormat="1" ht="15.75" customHeight="1" x14ac:dyDescent="0.3"/>
    <row r="442" s="29" customFormat="1" ht="15.75" customHeight="1" x14ac:dyDescent="0.3"/>
    <row r="443" s="29" customFormat="1" ht="15.75" customHeight="1" x14ac:dyDescent="0.3"/>
    <row r="444" s="29" customFormat="1" ht="15.75" customHeight="1" x14ac:dyDescent="0.3"/>
    <row r="445" s="29" customFormat="1" ht="15.75" customHeight="1" x14ac:dyDescent="0.3"/>
    <row r="446" s="29" customFormat="1" ht="15.75" customHeight="1" x14ac:dyDescent="0.3"/>
    <row r="447" s="29" customFormat="1" ht="15.75" customHeight="1" x14ac:dyDescent="0.3"/>
    <row r="448" s="29" customFormat="1" ht="15.75" customHeight="1" x14ac:dyDescent="0.3"/>
    <row r="449" s="29" customFormat="1" ht="15.75" customHeight="1" x14ac:dyDescent="0.3"/>
    <row r="450" s="29" customFormat="1" ht="15.75" customHeight="1" x14ac:dyDescent="0.3"/>
    <row r="451" s="29" customFormat="1" ht="15.75" customHeight="1" x14ac:dyDescent="0.3"/>
    <row r="452" s="29" customFormat="1" ht="15.75" customHeight="1" x14ac:dyDescent="0.3"/>
    <row r="453" s="29" customFormat="1" ht="15.75" customHeight="1" x14ac:dyDescent="0.3"/>
    <row r="454" s="29" customFormat="1" ht="15.75" customHeight="1" x14ac:dyDescent="0.3"/>
    <row r="455" s="29" customFormat="1" ht="15.75" customHeight="1" x14ac:dyDescent="0.3"/>
    <row r="456" s="29" customFormat="1" ht="15.75" customHeight="1" x14ac:dyDescent="0.3"/>
    <row r="457" s="29" customFormat="1" ht="15.75" customHeight="1" x14ac:dyDescent="0.3"/>
    <row r="458" s="29" customFormat="1" ht="15.75" customHeight="1" x14ac:dyDescent="0.3"/>
    <row r="459" s="29" customFormat="1" ht="15.75" customHeight="1" x14ac:dyDescent="0.3"/>
    <row r="460" s="29" customFormat="1" ht="15.75" customHeight="1" x14ac:dyDescent="0.3"/>
    <row r="461" s="29" customFormat="1" ht="15.75" customHeight="1" x14ac:dyDescent="0.3"/>
    <row r="462" s="29" customFormat="1" ht="15.75" customHeight="1" x14ac:dyDescent="0.3"/>
    <row r="463" s="29" customFormat="1" ht="15.75" customHeight="1" x14ac:dyDescent="0.3"/>
    <row r="464" s="29" customFormat="1" ht="15.75" customHeight="1" x14ac:dyDescent="0.3"/>
    <row r="465" s="29" customFormat="1" ht="15.75" customHeight="1" x14ac:dyDescent="0.3"/>
    <row r="466" s="29" customFormat="1" ht="15.75" customHeight="1" x14ac:dyDescent="0.3"/>
    <row r="467" s="29" customFormat="1" ht="15.75" customHeight="1" x14ac:dyDescent="0.3"/>
    <row r="468" s="29" customFormat="1" ht="15.75" customHeight="1" x14ac:dyDescent="0.3"/>
    <row r="469" s="29" customFormat="1" ht="15.75" customHeight="1" x14ac:dyDescent="0.3"/>
    <row r="470" s="29" customFormat="1" ht="15.75" customHeight="1" x14ac:dyDescent="0.3"/>
    <row r="471" s="29" customFormat="1" ht="15.75" customHeight="1" x14ac:dyDescent="0.3"/>
    <row r="472" s="29" customFormat="1" ht="15.75" customHeight="1" x14ac:dyDescent="0.3"/>
    <row r="473" s="29" customFormat="1" ht="15.75" customHeight="1" x14ac:dyDescent="0.3"/>
    <row r="474" s="29" customFormat="1" ht="15.75" customHeight="1" x14ac:dyDescent="0.3"/>
    <row r="475" s="29" customFormat="1" ht="15.75" customHeight="1" x14ac:dyDescent="0.3"/>
    <row r="476" s="29" customFormat="1" ht="15.75" customHeight="1" x14ac:dyDescent="0.3"/>
    <row r="477" s="29" customFormat="1" ht="15.75" customHeight="1" x14ac:dyDescent="0.3"/>
    <row r="478" s="29" customFormat="1" ht="15.75" customHeight="1" x14ac:dyDescent="0.3"/>
    <row r="479" s="29" customFormat="1" ht="15.75" customHeight="1" x14ac:dyDescent="0.3"/>
    <row r="480" s="29" customFormat="1" ht="15.75" customHeight="1" x14ac:dyDescent="0.3"/>
    <row r="481" s="29" customFormat="1" ht="15.75" customHeight="1" x14ac:dyDescent="0.3"/>
    <row r="482" s="29" customFormat="1" ht="15.75" customHeight="1" x14ac:dyDescent="0.3"/>
    <row r="483" s="29" customFormat="1" ht="15.75" customHeight="1" x14ac:dyDescent="0.3"/>
    <row r="484" s="29" customFormat="1" ht="15.75" customHeight="1" x14ac:dyDescent="0.3"/>
    <row r="485" s="29" customFormat="1" ht="15.75" customHeight="1" x14ac:dyDescent="0.3"/>
    <row r="486" s="29" customFormat="1" ht="15.75" customHeight="1" x14ac:dyDescent="0.3"/>
    <row r="487" s="29" customFormat="1" ht="15.75" customHeight="1" x14ac:dyDescent="0.3"/>
    <row r="488" s="29" customFormat="1" ht="15.75" customHeight="1" x14ac:dyDescent="0.3"/>
    <row r="489" s="29" customFormat="1" ht="15.75" customHeight="1" x14ac:dyDescent="0.3"/>
    <row r="490" s="29" customFormat="1" ht="15.75" customHeight="1" x14ac:dyDescent="0.3"/>
    <row r="491" s="29" customFormat="1" ht="15.75" customHeight="1" x14ac:dyDescent="0.3"/>
    <row r="492" s="29" customFormat="1" ht="15.75" customHeight="1" x14ac:dyDescent="0.3"/>
    <row r="493" s="29" customFormat="1" ht="15.75" customHeight="1" x14ac:dyDescent="0.3"/>
    <row r="494" s="29" customFormat="1" ht="15.75" customHeight="1" x14ac:dyDescent="0.3"/>
    <row r="495" s="29" customFormat="1" ht="15.75" customHeight="1" x14ac:dyDescent="0.3"/>
    <row r="496" s="29" customFormat="1" ht="15.75" customHeight="1" x14ac:dyDescent="0.3"/>
    <row r="497" s="29" customFormat="1" ht="15.75" customHeight="1" x14ac:dyDescent="0.3"/>
    <row r="498" s="29" customFormat="1" ht="15.75" customHeight="1" x14ac:dyDescent="0.3"/>
    <row r="499" s="29" customFormat="1" ht="15.75" customHeight="1" x14ac:dyDescent="0.3"/>
    <row r="500" s="29" customFormat="1" ht="15.75" customHeight="1" x14ac:dyDescent="0.3"/>
    <row r="501" s="29" customFormat="1" ht="15.75" customHeight="1" x14ac:dyDescent="0.3"/>
    <row r="502" s="29" customFormat="1" ht="15.75" customHeight="1" x14ac:dyDescent="0.3"/>
    <row r="503" s="29" customFormat="1" ht="15.75" customHeight="1" x14ac:dyDescent="0.3"/>
    <row r="504" s="29" customFormat="1" ht="15.75" customHeight="1" x14ac:dyDescent="0.3"/>
    <row r="505" s="29" customFormat="1" ht="15.75" customHeight="1" x14ac:dyDescent="0.3"/>
    <row r="506" s="29" customFormat="1" ht="15.75" customHeight="1" x14ac:dyDescent="0.3"/>
    <row r="507" s="29" customFormat="1" ht="15.75" customHeight="1" x14ac:dyDescent="0.3"/>
    <row r="508" s="29" customFormat="1" ht="15.75" customHeight="1" x14ac:dyDescent="0.3"/>
    <row r="509" s="29" customFormat="1" ht="15.75" customHeight="1" x14ac:dyDescent="0.3"/>
    <row r="510" s="29" customFormat="1" ht="15.75" customHeight="1" x14ac:dyDescent="0.3"/>
    <row r="511" s="29" customFormat="1" ht="15.75" customHeight="1" x14ac:dyDescent="0.3"/>
    <row r="512" s="29" customFormat="1" ht="15.75" customHeight="1" x14ac:dyDescent="0.3"/>
    <row r="513" s="29" customFormat="1" ht="15.75" customHeight="1" x14ac:dyDescent="0.3"/>
    <row r="514" s="29" customFormat="1" ht="15.75" customHeight="1" x14ac:dyDescent="0.3"/>
    <row r="515" s="29" customFormat="1" ht="15.75" customHeight="1" x14ac:dyDescent="0.3"/>
    <row r="516" s="29" customFormat="1" ht="15.75" customHeight="1" x14ac:dyDescent="0.3"/>
    <row r="517" s="29" customFormat="1" ht="15.75" customHeight="1" x14ac:dyDescent="0.3"/>
    <row r="518" s="29" customFormat="1" ht="15.75" customHeight="1" x14ac:dyDescent="0.3"/>
    <row r="519" s="29" customFormat="1" ht="15.75" customHeight="1" x14ac:dyDescent="0.3"/>
    <row r="520" s="29" customFormat="1" ht="15.75" customHeight="1" x14ac:dyDescent="0.3"/>
    <row r="521" s="29" customFormat="1" ht="15.75" customHeight="1" x14ac:dyDescent="0.3"/>
    <row r="522" s="29" customFormat="1" ht="15.75" customHeight="1" x14ac:dyDescent="0.3"/>
    <row r="523" s="29" customFormat="1" ht="15.75" customHeight="1" x14ac:dyDescent="0.3"/>
    <row r="524" s="29" customFormat="1" ht="15.75" customHeight="1" x14ac:dyDescent="0.3"/>
    <row r="525" s="29" customFormat="1" ht="15.75" customHeight="1" x14ac:dyDescent="0.3"/>
    <row r="526" s="29" customFormat="1" ht="15.75" customHeight="1" x14ac:dyDescent="0.3"/>
    <row r="527" s="29" customFormat="1" ht="15.75" customHeight="1" x14ac:dyDescent="0.3"/>
    <row r="528" s="29" customFormat="1" ht="15.75" customHeight="1" x14ac:dyDescent="0.3"/>
    <row r="529" s="29" customFormat="1" ht="15.75" customHeight="1" x14ac:dyDescent="0.3"/>
    <row r="530" s="29" customFormat="1" ht="15.75" customHeight="1" x14ac:dyDescent="0.3"/>
    <row r="531" s="29" customFormat="1" ht="15.75" customHeight="1" x14ac:dyDescent="0.3"/>
    <row r="532" s="29" customFormat="1" ht="15.75" customHeight="1" x14ac:dyDescent="0.3"/>
    <row r="533" s="29" customFormat="1" ht="15.75" customHeight="1" x14ac:dyDescent="0.3"/>
    <row r="534" s="29" customFormat="1" ht="15.75" customHeight="1" x14ac:dyDescent="0.3"/>
    <row r="535" s="29" customFormat="1" ht="15.75" customHeight="1" x14ac:dyDescent="0.3"/>
    <row r="536" s="29" customFormat="1" ht="15.75" customHeight="1" x14ac:dyDescent="0.3"/>
    <row r="537" s="29" customFormat="1" ht="15.75" customHeight="1" x14ac:dyDescent="0.3"/>
    <row r="538" s="29" customFormat="1" ht="15.75" customHeight="1" x14ac:dyDescent="0.3"/>
    <row r="539" s="29" customFormat="1" ht="15.75" customHeight="1" x14ac:dyDescent="0.3"/>
    <row r="540" s="29" customFormat="1" ht="15.75" customHeight="1" x14ac:dyDescent="0.3"/>
    <row r="541" s="29" customFormat="1" ht="15.75" customHeight="1" x14ac:dyDescent="0.3"/>
    <row r="542" s="29" customFormat="1" ht="15.75" customHeight="1" x14ac:dyDescent="0.3"/>
    <row r="543" s="29" customFormat="1" ht="15.75" customHeight="1" x14ac:dyDescent="0.3"/>
    <row r="544" s="29" customFormat="1" ht="15.75" customHeight="1" x14ac:dyDescent="0.3"/>
    <row r="545" s="29" customFormat="1" ht="15.75" customHeight="1" x14ac:dyDescent="0.3"/>
    <row r="546" s="29" customFormat="1" ht="15.75" customHeight="1" x14ac:dyDescent="0.3"/>
    <row r="547" s="29" customFormat="1" ht="15.75" customHeight="1" x14ac:dyDescent="0.3"/>
    <row r="548" s="29" customFormat="1" ht="15.75" customHeight="1" x14ac:dyDescent="0.3"/>
    <row r="549" s="29" customFormat="1" ht="15.75" customHeight="1" x14ac:dyDescent="0.3"/>
    <row r="550" s="29" customFormat="1" ht="15.75" customHeight="1" x14ac:dyDescent="0.3"/>
    <row r="551" s="29" customFormat="1" ht="15.75" customHeight="1" x14ac:dyDescent="0.3"/>
    <row r="552" s="29" customFormat="1" ht="15.75" customHeight="1" x14ac:dyDescent="0.3"/>
    <row r="553" s="29" customFormat="1" ht="15.75" customHeight="1" x14ac:dyDescent="0.3"/>
    <row r="554" s="29" customFormat="1" ht="15.75" customHeight="1" x14ac:dyDescent="0.3"/>
    <row r="555" s="29" customFormat="1" ht="15.75" customHeight="1" x14ac:dyDescent="0.3"/>
    <row r="556" s="29" customFormat="1" ht="15.75" customHeight="1" x14ac:dyDescent="0.3"/>
    <row r="557" s="29" customFormat="1" ht="15.75" customHeight="1" x14ac:dyDescent="0.3"/>
    <row r="558" s="29" customFormat="1" ht="15.75" customHeight="1" x14ac:dyDescent="0.3"/>
    <row r="559" s="29" customFormat="1" ht="15.75" customHeight="1" x14ac:dyDescent="0.3"/>
    <row r="560" s="29" customFormat="1" ht="15.75" customHeight="1" x14ac:dyDescent="0.3"/>
    <row r="561" s="29" customFormat="1" ht="15.75" customHeight="1" x14ac:dyDescent="0.3"/>
    <row r="562" s="29" customFormat="1" ht="15.75" customHeight="1" x14ac:dyDescent="0.3"/>
    <row r="563" s="29" customFormat="1" ht="15.75" customHeight="1" x14ac:dyDescent="0.3"/>
    <row r="564" s="29" customFormat="1" ht="15.75" customHeight="1" x14ac:dyDescent="0.3"/>
    <row r="565" s="29" customFormat="1" ht="15.75" customHeight="1" x14ac:dyDescent="0.3"/>
    <row r="566" s="29" customFormat="1" ht="15.75" customHeight="1" x14ac:dyDescent="0.3"/>
    <row r="567" s="29" customFormat="1" ht="15.75" customHeight="1" x14ac:dyDescent="0.3"/>
    <row r="568" s="29" customFormat="1" ht="15.75" customHeight="1" x14ac:dyDescent="0.3"/>
    <row r="569" s="29" customFormat="1" ht="15.75" customHeight="1" x14ac:dyDescent="0.3"/>
    <row r="570" s="29" customFormat="1" ht="15.75" customHeight="1" x14ac:dyDescent="0.3"/>
    <row r="571" s="29" customFormat="1" ht="15.75" customHeight="1" x14ac:dyDescent="0.3"/>
    <row r="572" s="29" customFormat="1" ht="15.75" customHeight="1" x14ac:dyDescent="0.3"/>
    <row r="573" s="29" customFormat="1" ht="15.75" customHeight="1" x14ac:dyDescent="0.3"/>
    <row r="574" s="29" customFormat="1" ht="15.75" customHeight="1" x14ac:dyDescent="0.3"/>
    <row r="575" s="29" customFormat="1" ht="15.75" customHeight="1" x14ac:dyDescent="0.3"/>
    <row r="576" s="29" customFormat="1" ht="15.75" customHeight="1" x14ac:dyDescent="0.3"/>
    <row r="577" s="29" customFormat="1" ht="15.75" customHeight="1" x14ac:dyDescent="0.3"/>
    <row r="578" s="29" customFormat="1" ht="15.75" customHeight="1" x14ac:dyDescent="0.3"/>
    <row r="579" s="29" customFormat="1" ht="15.75" customHeight="1" x14ac:dyDescent="0.3"/>
    <row r="580" s="29" customFormat="1" ht="15.75" customHeight="1" x14ac:dyDescent="0.3"/>
    <row r="581" s="29" customFormat="1" ht="15.75" customHeight="1" x14ac:dyDescent="0.3"/>
    <row r="582" s="29" customFormat="1" ht="15.75" customHeight="1" x14ac:dyDescent="0.3"/>
    <row r="583" s="29" customFormat="1" ht="15.75" customHeight="1" x14ac:dyDescent="0.3"/>
    <row r="584" s="29" customFormat="1" ht="15.75" customHeight="1" x14ac:dyDescent="0.3"/>
    <row r="585" s="29" customFormat="1" ht="15.75" customHeight="1" x14ac:dyDescent="0.3"/>
    <row r="586" s="29" customFormat="1" ht="15.75" customHeight="1" x14ac:dyDescent="0.3"/>
    <row r="587" s="29" customFormat="1" ht="15.75" customHeight="1" x14ac:dyDescent="0.3"/>
    <row r="588" s="29" customFormat="1" ht="15.75" customHeight="1" x14ac:dyDescent="0.3"/>
    <row r="589" s="29" customFormat="1" ht="15.75" customHeight="1" x14ac:dyDescent="0.3"/>
    <row r="590" s="29" customFormat="1" ht="15.75" customHeight="1" x14ac:dyDescent="0.3"/>
    <row r="591" s="29" customFormat="1" ht="15.75" customHeight="1" x14ac:dyDescent="0.3"/>
    <row r="592" s="29" customFormat="1" ht="15.75" customHeight="1" x14ac:dyDescent="0.3"/>
    <row r="593" s="29" customFormat="1" ht="15.75" customHeight="1" x14ac:dyDescent="0.3"/>
    <row r="594" s="29" customFormat="1" ht="15.75" customHeight="1" x14ac:dyDescent="0.3"/>
    <row r="595" s="29" customFormat="1" ht="15.75" customHeight="1" x14ac:dyDescent="0.3"/>
    <row r="596" s="29" customFormat="1" ht="15.75" customHeight="1" x14ac:dyDescent="0.3"/>
    <row r="597" s="29" customFormat="1" ht="15.75" customHeight="1" x14ac:dyDescent="0.3"/>
    <row r="598" s="29" customFormat="1" ht="15.75" customHeight="1" x14ac:dyDescent="0.3"/>
    <row r="599" s="29" customFormat="1" ht="15.75" customHeight="1" x14ac:dyDescent="0.3"/>
    <row r="600" s="29" customFormat="1" ht="15.75" customHeight="1" x14ac:dyDescent="0.3"/>
    <row r="601" s="29" customFormat="1" ht="15.75" customHeight="1" x14ac:dyDescent="0.3"/>
    <row r="602" s="29" customFormat="1" ht="15.75" customHeight="1" x14ac:dyDescent="0.3"/>
    <row r="603" s="29" customFormat="1" ht="15.75" customHeight="1" x14ac:dyDescent="0.3"/>
    <row r="604" s="29" customFormat="1" ht="15.75" customHeight="1" x14ac:dyDescent="0.3"/>
    <row r="605" s="29" customFormat="1" ht="15.75" customHeight="1" x14ac:dyDescent="0.3"/>
    <row r="606" s="29" customFormat="1" ht="15.75" customHeight="1" x14ac:dyDescent="0.3"/>
    <row r="607" s="29" customFormat="1" ht="15.75" customHeight="1" x14ac:dyDescent="0.3"/>
    <row r="608" s="29" customFormat="1" ht="15.75" customHeight="1" x14ac:dyDescent="0.3"/>
    <row r="609" s="29" customFormat="1" ht="15.75" customHeight="1" x14ac:dyDescent="0.3"/>
    <row r="610" s="29" customFormat="1" ht="15.75" customHeight="1" x14ac:dyDescent="0.3"/>
    <row r="611" s="29" customFormat="1" ht="15.75" customHeight="1" x14ac:dyDescent="0.3"/>
    <row r="612" s="29" customFormat="1" ht="15.75" customHeight="1" x14ac:dyDescent="0.3"/>
    <row r="613" s="29" customFormat="1" ht="15.75" customHeight="1" x14ac:dyDescent="0.3"/>
    <row r="614" s="29" customFormat="1" ht="15.75" customHeight="1" x14ac:dyDescent="0.3"/>
    <row r="615" s="29" customFormat="1" ht="15.75" customHeight="1" x14ac:dyDescent="0.3"/>
    <row r="616" s="29" customFormat="1" ht="15.75" customHeight="1" x14ac:dyDescent="0.3"/>
    <row r="617" s="29" customFormat="1" ht="15.75" customHeight="1" x14ac:dyDescent="0.3"/>
    <row r="618" s="29" customFormat="1" ht="15.75" customHeight="1" x14ac:dyDescent="0.3"/>
    <row r="619" s="29" customFormat="1" ht="15.75" customHeight="1" x14ac:dyDescent="0.3"/>
    <row r="620" s="29" customFormat="1" ht="15.75" customHeight="1" x14ac:dyDescent="0.3"/>
    <row r="621" s="29" customFormat="1" ht="15.75" customHeight="1" x14ac:dyDescent="0.3"/>
    <row r="622" s="29" customFormat="1" ht="15.75" customHeight="1" x14ac:dyDescent="0.3"/>
    <row r="623" s="29" customFormat="1" ht="15.75" customHeight="1" x14ac:dyDescent="0.3"/>
    <row r="624" s="29" customFormat="1" ht="15.75" customHeight="1" x14ac:dyDescent="0.3"/>
    <row r="625" s="29" customFormat="1" ht="15.75" customHeight="1" x14ac:dyDescent="0.3"/>
    <row r="626" s="29" customFormat="1" ht="15.75" customHeight="1" x14ac:dyDescent="0.3"/>
    <row r="627" s="29" customFormat="1" ht="15.75" customHeight="1" x14ac:dyDescent="0.3"/>
    <row r="628" s="29" customFormat="1" ht="15.75" customHeight="1" x14ac:dyDescent="0.3"/>
    <row r="629" s="29" customFormat="1" ht="15.75" customHeight="1" x14ac:dyDescent="0.3"/>
    <row r="630" s="29" customFormat="1" ht="15.75" customHeight="1" x14ac:dyDescent="0.3"/>
    <row r="631" s="29" customFormat="1" ht="15.75" customHeight="1" x14ac:dyDescent="0.3"/>
    <row r="632" s="29" customFormat="1" ht="15.75" customHeight="1" x14ac:dyDescent="0.3"/>
    <row r="633" s="29" customFormat="1" ht="15.75" customHeight="1" x14ac:dyDescent="0.3"/>
    <row r="634" s="29" customFormat="1" ht="15.75" customHeight="1" x14ac:dyDescent="0.3"/>
    <row r="635" s="29" customFormat="1" ht="15.75" customHeight="1" x14ac:dyDescent="0.3"/>
    <row r="636" s="29" customFormat="1" ht="15.75" customHeight="1" x14ac:dyDescent="0.3"/>
    <row r="637" s="29" customFormat="1" ht="15.75" customHeight="1" x14ac:dyDescent="0.3"/>
    <row r="638" s="29" customFormat="1" ht="15.75" customHeight="1" x14ac:dyDescent="0.3"/>
    <row r="639" s="29" customFormat="1" ht="15.75" customHeight="1" x14ac:dyDescent="0.3"/>
    <row r="640" s="29" customFormat="1" ht="15.75" customHeight="1" x14ac:dyDescent="0.3"/>
    <row r="641" s="29" customFormat="1" ht="15.75" customHeight="1" x14ac:dyDescent="0.3"/>
    <row r="642" s="29" customFormat="1" ht="15.75" customHeight="1" x14ac:dyDescent="0.3"/>
    <row r="643" s="29" customFormat="1" ht="15.75" customHeight="1" x14ac:dyDescent="0.3"/>
    <row r="644" s="29" customFormat="1" ht="15.75" customHeight="1" x14ac:dyDescent="0.3"/>
    <row r="645" s="29" customFormat="1" ht="15.75" customHeight="1" x14ac:dyDescent="0.3"/>
    <row r="646" s="29" customFormat="1" ht="15.75" customHeight="1" x14ac:dyDescent="0.3"/>
    <row r="647" s="29" customFormat="1" ht="15.75" customHeight="1" x14ac:dyDescent="0.3"/>
    <row r="648" s="29" customFormat="1" ht="15.75" customHeight="1" x14ac:dyDescent="0.3"/>
    <row r="649" s="29" customFormat="1" ht="15.75" customHeight="1" x14ac:dyDescent="0.3"/>
    <row r="650" s="29" customFormat="1" ht="15.75" customHeight="1" x14ac:dyDescent="0.3"/>
    <row r="651" s="29" customFormat="1" ht="15.75" customHeight="1" x14ac:dyDescent="0.3"/>
    <row r="652" s="29" customFormat="1" ht="15.75" customHeight="1" x14ac:dyDescent="0.3"/>
    <row r="653" s="29" customFormat="1" ht="15.75" customHeight="1" x14ac:dyDescent="0.3"/>
    <row r="654" s="29" customFormat="1" ht="15.75" customHeight="1" x14ac:dyDescent="0.3"/>
    <row r="655" s="29" customFormat="1" ht="15.75" customHeight="1" x14ac:dyDescent="0.3"/>
    <row r="656" s="29" customFormat="1" ht="15.75" customHeight="1" x14ac:dyDescent="0.3"/>
    <row r="657" s="29" customFormat="1" ht="15.75" customHeight="1" x14ac:dyDescent="0.3"/>
    <row r="658" s="29" customFormat="1" ht="15.75" customHeight="1" x14ac:dyDescent="0.3"/>
    <row r="659" s="29" customFormat="1" ht="15.75" customHeight="1" x14ac:dyDescent="0.3"/>
    <row r="660" s="29" customFormat="1" ht="15.75" customHeight="1" x14ac:dyDescent="0.3"/>
    <row r="661" s="29" customFormat="1" ht="15.75" customHeight="1" x14ac:dyDescent="0.3"/>
    <row r="662" s="29" customFormat="1" ht="15.75" customHeight="1" x14ac:dyDescent="0.3"/>
    <row r="663" s="29" customFormat="1" ht="15.75" customHeight="1" x14ac:dyDescent="0.3"/>
    <row r="664" s="29" customFormat="1" ht="15.75" customHeight="1" x14ac:dyDescent="0.3"/>
    <row r="665" s="29" customFormat="1" ht="15.75" customHeight="1" x14ac:dyDescent="0.3"/>
    <row r="666" s="29" customFormat="1" ht="15.75" customHeight="1" x14ac:dyDescent="0.3"/>
    <row r="667" s="29" customFormat="1" ht="15.75" customHeight="1" x14ac:dyDescent="0.3"/>
    <row r="668" s="29" customFormat="1" ht="15.75" customHeight="1" x14ac:dyDescent="0.3"/>
    <row r="669" s="29" customFormat="1" ht="15.75" customHeight="1" x14ac:dyDescent="0.3"/>
    <row r="670" s="29" customFormat="1" ht="15.75" customHeight="1" x14ac:dyDescent="0.3"/>
    <row r="671" s="29" customFormat="1" ht="15.75" customHeight="1" x14ac:dyDescent="0.3"/>
    <row r="672" s="29" customFormat="1" ht="15.75" customHeight="1" x14ac:dyDescent="0.3"/>
    <row r="673" s="29" customFormat="1" ht="15.75" customHeight="1" x14ac:dyDescent="0.3"/>
    <row r="674" s="29" customFormat="1" ht="15.75" customHeight="1" x14ac:dyDescent="0.3"/>
    <row r="675" s="29" customFormat="1" ht="15.75" customHeight="1" x14ac:dyDescent="0.3"/>
    <row r="676" s="29" customFormat="1" ht="15.75" customHeight="1" x14ac:dyDescent="0.3"/>
    <row r="677" s="29" customFormat="1" ht="15.75" customHeight="1" x14ac:dyDescent="0.3"/>
    <row r="678" s="29" customFormat="1" ht="15.75" customHeight="1" x14ac:dyDescent="0.3"/>
    <row r="679" s="29" customFormat="1" ht="15.75" customHeight="1" x14ac:dyDescent="0.3"/>
    <row r="680" s="29" customFormat="1" ht="15.75" customHeight="1" x14ac:dyDescent="0.3"/>
    <row r="681" s="29" customFormat="1" ht="15.75" customHeight="1" x14ac:dyDescent="0.3"/>
    <row r="682" s="29" customFormat="1" ht="15.75" customHeight="1" x14ac:dyDescent="0.3"/>
    <row r="683" s="29" customFormat="1" ht="15.75" customHeight="1" x14ac:dyDescent="0.3"/>
    <row r="684" s="29" customFormat="1" ht="15.75" customHeight="1" x14ac:dyDescent="0.3"/>
    <row r="685" s="29" customFormat="1" ht="15.75" customHeight="1" x14ac:dyDescent="0.3"/>
    <row r="686" s="29" customFormat="1" ht="15.75" customHeight="1" x14ac:dyDescent="0.3"/>
    <row r="687" s="29" customFormat="1" ht="15.75" customHeight="1" x14ac:dyDescent="0.3"/>
    <row r="688" s="29" customFormat="1" ht="15.75" customHeight="1" x14ac:dyDescent="0.3"/>
    <row r="689" s="29" customFormat="1" ht="15.75" customHeight="1" x14ac:dyDescent="0.3"/>
    <row r="690" s="29" customFormat="1" ht="15.75" customHeight="1" x14ac:dyDescent="0.3"/>
    <row r="691" s="29" customFormat="1" ht="15.75" customHeight="1" x14ac:dyDescent="0.3"/>
    <row r="692" s="29" customFormat="1" ht="15.75" customHeight="1" x14ac:dyDescent="0.3"/>
    <row r="693" s="29" customFormat="1" ht="15.75" customHeight="1" x14ac:dyDescent="0.3"/>
    <row r="694" s="29" customFormat="1" ht="15.75" customHeight="1" x14ac:dyDescent="0.3"/>
    <row r="695" s="29" customFormat="1" ht="15.75" customHeight="1" x14ac:dyDescent="0.3"/>
    <row r="696" s="29" customFormat="1" ht="15.75" customHeight="1" x14ac:dyDescent="0.3"/>
    <row r="697" s="29" customFormat="1" ht="15.75" customHeight="1" x14ac:dyDescent="0.3"/>
    <row r="698" s="29" customFormat="1" ht="15.75" customHeight="1" x14ac:dyDescent="0.3"/>
    <row r="699" s="29" customFormat="1" ht="15.75" customHeight="1" x14ac:dyDescent="0.3"/>
    <row r="700" s="29" customFormat="1" ht="15.75" customHeight="1" x14ac:dyDescent="0.3"/>
    <row r="701" s="29" customFormat="1" ht="15.75" customHeight="1" x14ac:dyDescent="0.3"/>
    <row r="702" s="29" customFormat="1" ht="15.75" customHeight="1" x14ac:dyDescent="0.3"/>
    <row r="703" s="29" customFormat="1" ht="15.75" customHeight="1" x14ac:dyDescent="0.3"/>
    <row r="704" s="29" customFormat="1" ht="15.75" customHeight="1" x14ac:dyDescent="0.3"/>
    <row r="705" s="29" customFormat="1" ht="15.75" customHeight="1" x14ac:dyDescent="0.3"/>
    <row r="706" s="29" customFormat="1" ht="15.75" customHeight="1" x14ac:dyDescent="0.3"/>
    <row r="707" s="29" customFormat="1" ht="15.75" customHeight="1" x14ac:dyDescent="0.3"/>
    <row r="708" s="29" customFormat="1" ht="15.75" customHeight="1" x14ac:dyDescent="0.3"/>
    <row r="709" s="29" customFormat="1" ht="15.75" customHeight="1" x14ac:dyDescent="0.3"/>
    <row r="710" s="29" customFormat="1" ht="15.75" customHeight="1" x14ac:dyDescent="0.3"/>
    <row r="711" s="29" customFormat="1" ht="15.75" customHeight="1" x14ac:dyDescent="0.3"/>
    <row r="712" s="29" customFormat="1" ht="15.75" customHeight="1" x14ac:dyDescent="0.3"/>
    <row r="713" s="29" customFormat="1" ht="15.75" customHeight="1" x14ac:dyDescent="0.3"/>
    <row r="714" s="29" customFormat="1" ht="15.75" customHeight="1" x14ac:dyDescent="0.3"/>
    <row r="715" s="29" customFormat="1" ht="15.75" customHeight="1" x14ac:dyDescent="0.3"/>
    <row r="716" s="29" customFormat="1" ht="15.75" customHeight="1" x14ac:dyDescent="0.3"/>
    <row r="717" s="29" customFormat="1" ht="15.75" customHeight="1" x14ac:dyDescent="0.3"/>
    <row r="718" s="29" customFormat="1" ht="15.75" customHeight="1" x14ac:dyDescent="0.3"/>
    <row r="719" s="29" customFormat="1" ht="15.75" customHeight="1" x14ac:dyDescent="0.3"/>
    <row r="720" s="29" customFormat="1" ht="15.75" customHeight="1" x14ac:dyDescent="0.3"/>
    <row r="721" s="29" customFormat="1" ht="15.75" customHeight="1" x14ac:dyDescent="0.3"/>
    <row r="722" s="29" customFormat="1" ht="15.75" customHeight="1" x14ac:dyDescent="0.3"/>
    <row r="723" s="29" customFormat="1" ht="15.75" customHeight="1" x14ac:dyDescent="0.3"/>
    <row r="724" s="29" customFormat="1" ht="15.75" customHeight="1" x14ac:dyDescent="0.3"/>
    <row r="725" s="29" customFormat="1" ht="15.75" customHeight="1" x14ac:dyDescent="0.3"/>
    <row r="726" s="29" customFormat="1" ht="15.75" customHeight="1" x14ac:dyDescent="0.3"/>
    <row r="727" s="29" customFormat="1" ht="15.75" customHeight="1" x14ac:dyDescent="0.3"/>
    <row r="728" s="29" customFormat="1" ht="15.75" customHeight="1" x14ac:dyDescent="0.3"/>
    <row r="729" s="29" customFormat="1" ht="15.75" customHeight="1" x14ac:dyDescent="0.3"/>
    <row r="730" s="29" customFormat="1" ht="15.75" customHeight="1" x14ac:dyDescent="0.3"/>
    <row r="731" s="29" customFormat="1" ht="15.75" customHeight="1" x14ac:dyDescent="0.3"/>
    <row r="732" s="29" customFormat="1" ht="15.75" customHeight="1" x14ac:dyDescent="0.3"/>
    <row r="733" s="29" customFormat="1" ht="15.75" customHeight="1" x14ac:dyDescent="0.3"/>
    <row r="734" s="29" customFormat="1" ht="15.75" customHeight="1" x14ac:dyDescent="0.3"/>
    <row r="735" s="29" customFormat="1" ht="15.75" customHeight="1" x14ac:dyDescent="0.3"/>
    <row r="736" s="29" customFormat="1" ht="15.75" customHeight="1" x14ac:dyDescent="0.3"/>
    <row r="737" s="29" customFormat="1" ht="15.75" customHeight="1" x14ac:dyDescent="0.3"/>
    <row r="738" s="29" customFormat="1" ht="15.75" customHeight="1" x14ac:dyDescent="0.3"/>
    <row r="739" s="29" customFormat="1" ht="15.75" customHeight="1" x14ac:dyDescent="0.3"/>
    <row r="740" s="29" customFormat="1" ht="15.75" customHeight="1" x14ac:dyDescent="0.3"/>
    <row r="741" s="29" customFormat="1" ht="15.75" customHeight="1" x14ac:dyDescent="0.3"/>
    <row r="742" s="29" customFormat="1" ht="15.75" customHeight="1" x14ac:dyDescent="0.3"/>
    <row r="743" s="29" customFormat="1" ht="15.75" customHeight="1" x14ac:dyDescent="0.3"/>
    <row r="744" s="29" customFormat="1" ht="15.75" customHeight="1" x14ac:dyDescent="0.3"/>
    <row r="745" s="29" customFormat="1" ht="15.75" customHeight="1" x14ac:dyDescent="0.3"/>
    <row r="746" s="29" customFormat="1" ht="15.75" customHeight="1" x14ac:dyDescent="0.3"/>
    <row r="747" s="29" customFormat="1" ht="15.75" customHeight="1" x14ac:dyDescent="0.3"/>
    <row r="748" s="29" customFormat="1" ht="15.75" customHeight="1" x14ac:dyDescent="0.3"/>
    <row r="749" s="29" customFormat="1" ht="15.75" customHeight="1" x14ac:dyDescent="0.3"/>
    <row r="750" s="29" customFormat="1" ht="15.75" customHeight="1" x14ac:dyDescent="0.3"/>
    <row r="751" s="29" customFormat="1" ht="15.75" customHeight="1" x14ac:dyDescent="0.3"/>
    <row r="752" s="29" customFormat="1" ht="15.75" customHeight="1" x14ac:dyDescent="0.3"/>
    <row r="753" s="29" customFormat="1" ht="15.75" customHeight="1" x14ac:dyDescent="0.3"/>
    <row r="754" s="29" customFormat="1" ht="15.75" customHeight="1" x14ac:dyDescent="0.3"/>
    <row r="755" s="29" customFormat="1" ht="15.75" customHeight="1" x14ac:dyDescent="0.3"/>
    <row r="756" s="29" customFormat="1" ht="15.75" customHeight="1" x14ac:dyDescent="0.3"/>
    <row r="757" s="29" customFormat="1" ht="15.75" customHeight="1" x14ac:dyDescent="0.3"/>
    <row r="758" s="29" customFormat="1" ht="15.75" customHeight="1" x14ac:dyDescent="0.3"/>
    <row r="759" s="29" customFormat="1" ht="15.75" customHeight="1" x14ac:dyDescent="0.3"/>
    <row r="760" s="29" customFormat="1" ht="15.75" customHeight="1" x14ac:dyDescent="0.3"/>
    <row r="761" s="29" customFormat="1" ht="15.75" customHeight="1" x14ac:dyDescent="0.3"/>
    <row r="762" s="29" customFormat="1" ht="15.75" customHeight="1" x14ac:dyDescent="0.3"/>
    <row r="763" s="29" customFormat="1" ht="15.75" customHeight="1" x14ac:dyDescent="0.3"/>
    <row r="764" s="29" customFormat="1" ht="15.75" customHeight="1" x14ac:dyDescent="0.3"/>
    <row r="765" s="29" customFormat="1" ht="15.75" customHeight="1" x14ac:dyDescent="0.3"/>
    <row r="766" s="29" customFormat="1" ht="15.75" customHeight="1" x14ac:dyDescent="0.3"/>
    <row r="767" s="29" customFormat="1" ht="15.75" customHeight="1" x14ac:dyDescent="0.3"/>
    <row r="768" s="29" customFormat="1" ht="15.75" customHeight="1" x14ac:dyDescent="0.3"/>
    <row r="769" s="29" customFormat="1" ht="15.75" customHeight="1" x14ac:dyDescent="0.3"/>
    <row r="770" s="29" customFormat="1" ht="15.75" customHeight="1" x14ac:dyDescent="0.3"/>
    <row r="771" s="29" customFormat="1" ht="15.75" customHeight="1" x14ac:dyDescent="0.3"/>
    <row r="772" s="29" customFormat="1" ht="15.75" customHeight="1" x14ac:dyDescent="0.3"/>
    <row r="773" s="29" customFormat="1" ht="15.75" customHeight="1" x14ac:dyDescent="0.3"/>
    <row r="774" s="29" customFormat="1" ht="15.75" customHeight="1" x14ac:dyDescent="0.3"/>
    <row r="775" s="29" customFormat="1" ht="15.75" customHeight="1" x14ac:dyDescent="0.3"/>
    <row r="776" s="29" customFormat="1" ht="15.75" customHeight="1" x14ac:dyDescent="0.3"/>
    <row r="777" s="29" customFormat="1" ht="15.75" customHeight="1" x14ac:dyDescent="0.3"/>
    <row r="778" s="29" customFormat="1" ht="15.75" customHeight="1" x14ac:dyDescent="0.3"/>
    <row r="779" s="29" customFormat="1" ht="15.75" customHeight="1" x14ac:dyDescent="0.3"/>
    <row r="780" s="29" customFormat="1" ht="15.75" customHeight="1" x14ac:dyDescent="0.3"/>
    <row r="781" s="29" customFormat="1" ht="15.75" customHeight="1" x14ac:dyDescent="0.3"/>
    <row r="782" s="29" customFormat="1" ht="15.75" customHeight="1" x14ac:dyDescent="0.3"/>
    <row r="783" s="29" customFormat="1" ht="15.75" customHeight="1" x14ac:dyDescent="0.3"/>
    <row r="784" s="29" customFormat="1" ht="15.75" customHeight="1" x14ac:dyDescent="0.3"/>
    <row r="785" s="29" customFormat="1" ht="15.75" customHeight="1" x14ac:dyDescent="0.3"/>
    <row r="786" s="29" customFormat="1" ht="15.75" customHeight="1" x14ac:dyDescent="0.3"/>
    <row r="787" s="29" customFormat="1" ht="15.75" customHeight="1" x14ac:dyDescent="0.3"/>
    <row r="788" s="29" customFormat="1" ht="15.75" customHeight="1" x14ac:dyDescent="0.3"/>
    <row r="789" s="29" customFormat="1" ht="15.75" customHeight="1" x14ac:dyDescent="0.3"/>
    <row r="790" s="29" customFormat="1" ht="15.75" customHeight="1" x14ac:dyDescent="0.3"/>
    <row r="791" s="29" customFormat="1" ht="15.75" customHeight="1" x14ac:dyDescent="0.3"/>
    <row r="792" s="29" customFormat="1" ht="15.75" customHeight="1" x14ac:dyDescent="0.3"/>
    <row r="793" s="29" customFormat="1" ht="15.75" customHeight="1" x14ac:dyDescent="0.3"/>
    <row r="794" s="29" customFormat="1" ht="15.75" customHeight="1" x14ac:dyDescent="0.3"/>
    <row r="795" s="29" customFormat="1" ht="15.75" customHeight="1" x14ac:dyDescent="0.3"/>
    <row r="796" s="29" customFormat="1" ht="15.75" customHeight="1" x14ac:dyDescent="0.3"/>
    <row r="797" s="29" customFormat="1" ht="15.75" customHeight="1" x14ac:dyDescent="0.3"/>
    <row r="798" s="29" customFormat="1" ht="15.75" customHeight="1" x14ac:dyDescent="0.3"/>
    <row r="799" s="29" customFormat="1" ht="15.75" customHeight="1" x14ac:dyDescent="0.3"/>
    <row r="800" s="29" customFormat="1" ht="15.75" customHeight="1" x14ac:dyDescent="0.3"/>
    <row r="801" s="29" customFormat="1" ht="15.75" customHeight="1" x14ac:dyDescent="0.3"/>
    <row r="802" s="29" customFormat="1" ht="15.75" customHeight="1" x14ac:dyDescent="0.3"/>
    <row r="803" s="29" customFormat="1" ht="15.75" customHeight="1" x14ac:dyDescent="0.3"/>
    <row r="804" s="29" customFormat="1" ht="15.75" customHeight="1" x14ac:dyDescent="0.3"/>
    <row r="805" s="29" customFormat="1" ht="15.75" customHeight="1" x14ac:dyDescent="0.3"/>
    <row r="806" s="29" customFormat="1" ht="15.75" customHeight="1" x14ac:dyDescent="0.3"/>
    <row r="807" s="29" customFormat="1" ht="15.75" customHeight="1" x14ac:dyDescent="0.3"/>
    <row r="808" s="29" customFormat="1" ht="15.75" customHeight="1" x14ac:dyDescent="0.3"/>
    <row r="809" s="29" customFormat="1" ht="15.75" customHeight="1" x14ac:dyDescent="0.3"/>
    <row r="810" s="29" customFormat="1" ht="15.75" customHeight="1" x14ac:dyDescent="0.3"/>
    <row r="811" s="29" customFormat="1" ht="15.75" customHeight="1" x14ac:dyDescent="0.3"/>
    <row r="812" s="29" customFormat="1" ht="15.75" customHeight="1" x14ac:dyDescent="0.3"/>
    <row r="813" s="29" customFormat="1" ht="15.75" customHeight="1" x14ac:dyDescent="0.3"/>
    <row r="814" s="29" customFormat="1" ht="15.75" customHeight="1" x14ac:dyDescent="0.3"/>
    <row r="815" s="29" customFormat="1" ht="15.75" customHeight="1" x14ac:dyDescent="0.3"/>
    <row r="816" s="29" customFormat="1" ht="15.75" customHeight="1" x14ac:dyDescent="0.3"/>
    <row r="817" s="29" customFormat="1" ht="15.75" customHeight="1" x14ac:dyDescent="0.3"/>
    <row r="818" s="29" customFormat="1" ht="15.75" customHeight="1" x14ac:dyDescent="0.3"/>
    <row r="819" s="29" customFormat="1" ht="15.75" customHeight="1" x14ac:dyDescent="0.3"/>
    <row r="820" s="29" customFormat="1" ht="15.75" customHeight="1" x14ac:dyDescent="0.3"/>
    <row r="821" s="29" customFormat="1" ht="15.75" customHeight="1" x14ac:dyDescent="0.3"/>
    <row r="822" s="29" customFormat="1" ht="15.75" customHeight="1" x14ac:dyDescent="0.3"/>
    <row r="823" s="29" customFormat="1" ht="15.75" customHeight="1" x14ac:dyDescent="0.3"/>
    <row r="824" s="29" customFormat="1" ht="15.75" customHeight="1" x14ac:dyDescent="0.3"/>
    <row r="825" s="29" customFormat="1" ht="15.75" customHeight="1" x14ac:dyDescent="0.3"/>
    <row r="826" s="29" customFormat="1" ht="15.75" customHeight="1" x14ac:dyDescent="0.3"/>
    <row r="827" s="29" customFormat="1" ht="15.75" customHeight="1" x14ac:dyDescent="0.3"/>
    <row r="828" s="29" customFormat="1" ht="15.75" customHeight="1" x14ac:dyDescent="0.3"/>
    <row r="829" s="29" customFormat="1" ht="15.75" customHeight="1" x14ac:dyDescent="0.3"/>
    <row r="830" s="29" customFormat="1" ht="15.75" customHeight="1" x14ac:dyDescent="0.3"/>
    <row r="831" s="29" customFormat="1" ht="15.75" customHeight="1" x14ac:dyDescent="0.3"/>
    <row r="832" s="29" customFormat="1" ht="15.75" customHeight="1" x14ac:dyDescent="0.3"/>
    <row r="833" s="29" customFormat="1" ht="15.75" customHeight="1" x14ac:dyDescent="0.3"/>
    <row r="834" s="29" customFormat="1" ht="15.75" customHeight="1" x14ac:dyDescent="0.3"/>
    <row r="835" s="29" customFormat="1" ht="15.75" customHeight="1" x14ac:dyDescent="0.3"/>
    <row r="836" s="29" customFormat="1" ht="15.75" customHeight="1" x14ac:dyDescent="0.3"/>
    <row r="837" s="29" customFormat="1" ht="15.75" customHeight="1" x14ac:dyDescent="0.3"/>
    <row r="838" s="29" customFormat="1" ht="15.75" customHeight="1" x14ac:dyDescent="0.3"/>
    <row r="839" s="29" customFormat="1" ht="15.75" customHeight="1" x14ac:dyDescent="0.3"/>
    <row r="840" s="29" customFormat="1" ht="15.75" customHeight="1" x14ac:dyDescent="0.3"/>
    <row r="841" s="29" customFormat="1" ht="15.75" customHeight="1" x14ac:dyDescent="0.3"/>
    <row r="842" s="29" customFormat="1" ht="15.75" customHeight="1" x14ac:dyDescent="0.3"/>
    <row r="843" s="29" customFormat="1" ht="15.75" customHeight="1" x14ac:dyDescent="0.3"/>
    <row r="844" s="29" customFormat="1" ht="15.75" customHeight="1" x14ac:dyDescent="0.3"/>
    <row r="845" s="29" customFormat="1" ht="15.75" customHeight="1" x14ac:dyDescent="0.3"/>
    <row r="846" s="29" customFormat="1" ht="15.75" customHeight="1" x14ac:dyDescent="0.3"/>
    <row r="847" s="29" customFormat="1" ht="15.75" customHeight="1" x14ac:dyDescent="0.3"/>
    <row r="848" s="29" customFormat="1" ht="15.75" customHeight="1" x14ac:dyDescent="0.3"/>
    <row r="849" s="29" customFormat="1" ht="15.75" customHeight="1" x14ac:dyDescent="0.3"/>
    <row r="850" s="29" customFormat="1" ht="15.75" customHeight="1" x14ac:dyDescent="0.3"/>
    <row r="851" s="29" customFormat="1" ht="15.75" customHeight="1" x14ac:dyDescent="0.3"/>
    <row r="852" s="29" customFormat="1" ht="15.75" customHeight="1" x14ac:dyDescent="0.3"/>
    <row r="853" s="29" customFormat="1" ht="15.75" customHeight="1" x14ac:dyDescent="0.3"/>
    <row r="854" s="29" customFormat="1" ht="15.75" customHeight="1" x14ac:dyDescent="0.3"/>
    <row r="855" s="29" customFormat="1" ht="15.75" customHeight="1" x14ac:dyDescent="0.3"/>
    <row r="856" s="29" customFormat="1" ht="15.75" customHeight="1" x14ac:dyDescent="0.3"/>
    <row r="857" s="29" customFormat="1" ht="15.75" customHeight="1" x14ac:dyDescent="0.3"/>
    <row r="858" s="29" customFormat="1" ht="15.75" customHeight="1" x14ac:dyDescent="0.3"/>
    <row r="859" s="29" customFormat="1" ht="15.75" customHeight="1" x14ac:dyDescent="0.3"/>
    <row r="860" s="29" customFormat="1" ht="15.75" customHeight="1" x14ac:dyDescent="0.3"/>
    <row r="861" s="29" customFormat="1" ht="15.75" customHeight="1" x14ac:dyDescent="0.3"/>
    <row r="862" s="29" customFormat="1" ht="15.75" customHeight="1" x14ac:dyDescent="0.3"/>
    <row r="863" s="29" customFormat="1" ht="15.75" customHeight="1" x14ac:dyDescent="0.3"/>
    <row r="864" s="29" customFormat="1" ht="15.75" customHeight="1" x14ac:dyDescent="0.3"/>
    <row r="865" s="29" customFormat="1" ht="15.75" customHeight="1" x14ac:dyDescent="0.3"/>
    <row r="866" s="29" customFormat="1" ht="15.75" customHeight="1" x14ac:dyDescent="0.3"/>
    <row r="867" s="29" customFormat="1" ht="15.75" customHeight="1" x14ac:dyDescent="0.3"/>
    <row r="868" s="29" customFormat="1" ht="15.75" customHeight="1" x14ac:dyDescent="0.3"/>
    <row r="869" s="29" customFormat="1" ht="15.75" customHeight="1" x14ac:dyDescent="0.3"/>
    <row r="870" s="29" customFormat="1" ht="15.75" customHeight="1" x14ac:dyDescent="0.3"/>
    <row r="871" s="29" customFormat="1" ht="15.75" customHeight="1" x14ac:dyDescent="0.3"/>
    <row r="872" s="29" customFormat="1" ht="15.75" customHeight="1" x14ac:dyDescent="0.3"/>
    <row r="873" s="29" customFormat="1" ht="15.75" customHeight="1" x14ac:dyDescent="0.3"/>
    <row r="874" s="29" customFormat="1" ht="15.75" customHeight="1" x14ac:dyDescent="0.3"/>
    <row r="875" s="29" customFormat="1" ht="15.75" customHeight="1" x14ac:dyDescent="0.3"/>
    <row r="876" s="29" customFormat="1" ht="15.75" customHeight="1" x14ac:dyDescent="0.3"/>
    <row r="877" s="29" customFormat="1" ht="15.75" customHeight="1" x14ac:dyDescent="0.3"/>
    <row r="878" s="29" customFormat="1" ht="15.75" customHeight="1" x14ac:dyDescent="0.3"/>
    <row r="879" s="29" customFormat="1" ht="15.75" customHeight="1" x14ac:dyDescent="0.3"/>
    <row r="880" s="29" customFormat="1" ht="15.75" customHeight="1" x14ac:dyDescent="0.3"/>
    <row r="881" s="29" customFormat="1" ht="15.75" customHeight="1" x14ac:dyDescent="0.3"/>
    <row r="882" s="29" customFormat="1" ht="15.75" customHeight="1" x14ac:dyDescent="0.3"/>
    <row r="883" s="29" customFormat="1" ht="15.75" customHeight="1" x14ac:dyDescent="0.3"/>
    <row r="884" s="29" customFormat="1" ht="15.75" customHeight="1" x14ac:dyDescent="0.3"/>
    <row r="885" s="29" customFormat="1" ht="15.75" customHeight="1" x14ac:dyDescent="0.3"/>
    <row r="886" s="29" customFormat="1" ht="15.75" customHeight="1" x14ac:dyDescent="0.3"/>
    <row r="887" s="29" customFormat="1" ht="15.75" customHeight="1" x14ac:dyDescent="0.3"/>
    <row r="888" s="29" customFormat="1" ht="15.75" customHeight="1" x14ac:dyDescent="0.3"/>
    <row r="889" s="29" customFormat="1" ht="15.75" customHeight="1" x14ac:dyDescent="0.3"/>
    <row r="890" s="29" customFormat="1" ht="15.75" customHeight="1" x14ac:dyDescent="0.3"/>
    <row r="891" s="29" customFormat="1" ht="15.75" customHeight="1" x14ac:dyDescent="0.3"/>
    <row r="892" s="29" customFormat="1" ht="15.75" customHeight="1" x14ac:dyDescent="0.3"/>
    <row r="893" s="29" customFormat="1" ht="15.75" customHeight="1" x14ac:dyDescent="0.3"/>
    <row r="894" s="29" customFormat="1" ht="15.75" customHeight="1" x14ac:dyDescent="0.3"/>
    <row r="895" s="29" customFormat="1" ht="15.75" customHeight="1" x14ac:dyDescent="0.3"/>
    <row r="896" s="29" customFormat="1" ht="15.75" customHeight="1" x14ac:dyDescent="0.3"/>
    <row r="897" s="29" customFormat="1" ht="15.75" customHeight="1" x14ac:dyDescent="0.3"/>
    <row r="898" s="29" customFormat="1" ht="15.75" customHeight="1" x14ac:dyDescent="0.3"/>
    <row r="899" s="29" customFormat="1" ht="15.75" customHeight="1" x14ac:dyDescent="0.3"/>
    <row r="900" s="29" customFormat="1" ht="15.75" customHeight="1" x14ac:dyDescent="0.3"/>
    <row r="901" s="29" customFormat="1" ht="15.75" customHeight="1" x14ac:dyDescent="0.3"/>
    <row r="902" s="29" customFormat="1" ht="15.75" customHeight="1" x14ac:dyDescent="0.3"/>
    <row r="903" s="29" customFormat="1" ht="15.75" customHeight="1" x14ac:dyDescent="0.3"/>
    <row r="904" s="29" customFormat="1" ht="15.75" customHeight="1" x14ac:dyDescent="0.3"/>
    <row r="905" s="29" customFormat="1" ht="15.75" customHeight="1" x14ac:dyDescent="0.3"/>
    <row r="906" s="29" customFormat="1" ht="15.75" customHeight="1" x14ac:dyDescent="0.3"/>
    <row r="907" s="29" customFormat="1" ht="15.75" customHeight="1" x14ac:dyDescent="0.3"/>
    <row r="908" s="29" customFormat="1" ht="15.75" customHeight="1" x14ac:dyDescent="0.3"/>
    <row r="909" s="29" customFormat="1" ht="15.75" customHeight="1" x14ac:dyDescent="0.3"/>
    <row r="910" s="29" customFormat="1" ht="15.75" customHeight="1" x14ac:dyDescent="0.3"/>
    <row r="911" s="29" customFormat="1" ht="15.75" customHeight="1" x14ac:dyDescent="0.3"/>
    <row r="912" s="29" customFormat="1" ht="15.75" customHeight="1" x14ac:dyDescent="0.3"/>
    <row r="913" s="29" customFormat="1" ht="15.75" customHeight="1" x14ac:dyDescent="0.3"/>
    <row r="914" s="29" customFormat="1" ht="15.75" customHeight="1" x14ac:dyDescent="0.3"/>
    <row r="915" s="29" customFormat="1" ht="15.75" customHeight="1" x14ac:dyDescent="0.3"/>
    <row r="916" s="29" customFormat="1" ht="15.75" customHeight="1" x14ac:dyDescent="0.3"/>
    <row r="917" s="29" customFormat="1" ht="15.75" customHeight="1" x14ac:dyDescent="0.3"/>
    <row r="918" s="29" customFormat="1" ht="15.75" customHeight="1" x14ac:dyDescent="0.3"/>
    <row r="919" s="29" customFormat="1" ht="15.75" customHeight="1" x14ac:dyDescent="0.3"/>
    <row r="920" s="29" customFormat="1" ht="15.75" customHeight="1" x14ac:dyDescent="0.3"/>
    <row r="921" s="29" customFormat="1" ht="15.75" customHeight="1" x14ac:dyDescent="0.3"/>
    <row r="922" s="29" customFormat="1" ht="15.75" customHeight="1" x14ac:dyDescent="0.3"/>
    <row r="923" s="29" customFormat="1" ht="15.75" customHeight="1" x14ac:dyDescent="0.3"/>
    <row r="924" s="29" customFormat="1" ht="15.75" customHeight="1" x14ac:dyDescent="0.3"/>
    <row r="925" s="29" customFormat="1" ht="15.75" customHeight="1" x14ac:dyDescent="0.3"/>
    <row r="926" s="29" customFormat="1" ht="15.75" customHeight="1" x14ac:dyDescent="0.3"/>
    <row r="927" s="29" customFormat="1" ht="15.75" customHeight="1" x14ac:dyDescent="0.3"/>
    <row r="928" s="29" customFormat="1" ht="15.75" customHeight="1" x14ac:dyDescent="0.3"/>
    <row r="929" s="29" customFormat="1" ht="15.75" customHeight="1" x14ac:dyDescent="0.3"/>
    <row r="930" s="29" customFormat="1" ht="15.75" customHeight="1" x14ac:dyDescent="0.3"/>
    <row r="931" s="29" customFormat="1" ht="15.75" customHeight="1" x14ac:dyDescent="0.3"/>
    <row r="932" s="29" customFormat="1" ht="15.75" customHeight="1" x14ac:dyDescent="0.3"/>
    <row r="933" s="29" customFormat="1" ht="15.75" customHeight="1" x14ac:dyDescent="0.3"/>
    <row r="934" s="29" customFormat="1" ht="15.75" customHeight="1" x14ac:dyDescent="0.3"/>
    <row r="935" s="29" customFormat="1" ht="15.75" customHeight="1" x14ac:dyDescent="0.3"/>
    <row r="936" s="29" customFormat="1" ht="15.75" customHeight="1" x14ac:dyDescent="0.3"/>
    <row r="937" s="29" customFormat="1" ht="15.75" customHeight="1" x14ac:dyDescent="0.3"/>
    <row r="938" s="29" customFormat="1" ht="15.75" customHeight="1" x14ac:dyDescent="0.3"/>
    <row r="939" s="29" customFormat="1" ht="15.75" customHeight="1" x14ac:dyDescent="0.3"/>
    <row r="940" s="29" customFormat="1" ht="15.75" customHeight="1" x14ac:dyDescent="0.3"/>
    <row r="941" s="29" customFormat="1" ht="15.75" customHeight="1" x14ac:dyDescent="0.3"/>
    <row r="942" s="29" customFormat="1" ht="15.75" customHeight="1" x14ac:dyDescent="0.3"/>
    <row r="943" s="29" customFormat="1" ht="15.75" customHeight="1" x14ac:dyDescent="0.3"/>
    <row r="944" s="29" customFormat="1" ht="15.75" customHeight="1" x14ac:dyDescent="0.3"/>
    <row r="945" s="29" customFormat="1" ht="15.75" customHeight="1" x14ac:dyDescent="0.3"/>
    <row r="946" s="29" customFormat="1" ht="15.75" customHeight="1" x14ac:dyDescent="0.3"/>
    <row r="947" s="29" customFormat="1" ht="15.75" customHeight="1" x14ac:dyDescent="0.3"/>
    <row r="948" s="29" customFormat="1" ht="15.75" customHeight="1" x14ac:dyDescent="0.3"/>
    <row r="949" s="29" customFormat="1" ht="15.75" customHeight="1" x14ac:dyDescent="0.3"/>
    <row r="950" s="29" customFormat="1" ht="15.75" customHeight="1" x14ac:dyDescent="0.3"/>
    <row r="951" s="29" customFormat="1" ht="15.75" customHeight="1" x14ac:dyDescent="0.3"/>
    <row r="952" s="29" customFormat="1" ht="15.75" customHeight="1" x14ac:dyDescent="0.3"/>
    <row r="953" s="29" customFormat="1" ht="15.75" customHeight="1" x14ac:dyDescent="0.3"/>
    <row r="954" s="29" customFormat="1" ht="15.75" customHeight="1" x14ac:dyDescent="0.3"/>
    <row r="955" s="29" customFormat="1" ht="15.75" customHeight="1" x14ac:dyDescent="0.3"/>
    <row r="956" s="29" customFormat="1" ht="15.75" customHeight="1" x14ac:dyDescent="0.3"/>
    <row r="957" s="29" customFormat="1" ht="15.75" customHeight="1" x14ac:dyDescent="0.3"/>
    <row r="958" s="29" customFormat="1" ht="15.75" customHeight="1" x14ac:dyDescent="0.3"/>
    <row r="959" s="29" customFormat="1" ht="15.75" customHeight="1" x14ac:dyDescent="0.3"/>
    <row r="960" s="29" customFormat="1" ht="15.75" customHeight="1" x14ac:dyDescent="0.3"/>
    <row r="961" s="29" customFormat="1" ht="15.75" customHeight="1" x14ac:dyDescent="0.3"/>
    <row r="962" s="29" customFormat="1" ht="15.75" customHeight="1" x14ac:dyDescent="0.3"/>
    <row r="963" s="29" customFormat="1" ht="15.75" customHeight="1" x14ac:dyDescent="0.3"/>
    <row r="964" s="29" customFormat="1" ht="15.75" customHeight="1" x14ac:dyDescent="0.3"/>
    <row r="965" s="29" customFormat="1" ht="15.75" customHeight="1" x14ac:dyDescent="0.3"/>
    <row r="966" s="29" customFormat="1" ht="15.75" customHeight="1" x14ac:dyDescent="0.3"/>
    <row r="967" s="29" customFormat="1" ht="15.75" customHeight="1" x14ac:dyDescent="0.3"/>
    <row r="968" s="29" customFormat="1" ht="15.75" customHeight="1" x14ac:dyDescent="0.3"/>
    <row r="969" s="29" customFormat="1" ht="15.75" customHeight="1" x14ac:dyDescent="0.3"/>
    <row r="970" s="29" customFormat="1" ht="15.75" customHeight="1" x14ac:dyDescent="0.3"/>
    <row r="971" s="29" customFormat="1" ht="15.75" customHeight="1" x14ac:dyDescent="0.3"/>
    <row r="972" s="29" customFormat="1" ht="15.75" customHeight="1" x14ac:dyDescent="0.3"/>
    <row r="973" s="29" customFormat="1" ht="15.75" customHeight="1" x14ac:dyDescent="0.3"/>
    <row r="974" s="29" customFormat="1" ht="15.75" customHeight="1" x14ac:dyDescent="0.3"/>
    <row r="975" s="29" customFormat="1" ht="15.75" customHeight="1" x14ac:dyDescent="0.3"/>
    <row r="976" s="29" customFormat="1" ht="15.75" customHeight="1" x14ac:dyDescent="0.3"/>
    <row r="977" s="29" customFormat="1" ht="15.75" customHeight="1" x14ac:dyDescent="0.3"/>
    <row r="978" s="29" customFormat="1" ht="15.75" customHeight="1" x14ac:dyDescent="0.3"/>
    <row r="979" s="29" customFormat="1" ht="15.75" customHeight="1" x14ac:dyDescent="0.3"/>
    <row r="980" s="29" customFormat="1" ht="15.75" customHeight="1" x14ac:dyDescent="0.3"/>
    <row r="981" s="29" customFormat="1" ht="15.75" customHeight="1" x14ac:dyDescent="0.3"/>
    <row r="982" s="29" customFormat="1" ht="15.75" customHeight="1" x14ac:dyDescent="0.3"/>
    <row r="983" s="29" customFormat="1" ht="15.75" customHeight="1" x14ac:dyDescent="0.3"/>
    <row r="984" s="29" customFormat="1" ht="15.75" customHeight="1" x14ac:dyDescent="0.3"/>
    <row r="985" s="29" customFormat="1" ht="15.75" customHeight="1" x14ac:dyDescent="0.3"/>
    <row r="986" s="29" customFormat="1" ht="15.75" customHeight="1" x14ac:dyDescent="0.3"/>
    <row r="987" s="29" customFormat="1" ht="15.75" customHeight="1" x14ac:dyDescent="0.3"/>
    <row r="988" s="29" customFormat="1" ht="15.75" customHeight="1" x14ac:dyDescent="0.3"/>
    <row r="989" s="29" customFormat="1" ht="15.75" customHeight="1" x14ac:dyDescent="0.3"/>
    <row r="990" s="29" customFormat="1" ht="15.75" customHeight="1" x14ac:dyDescent="0.3"/>
    <row r="991" s="29" customFormat="1" ht="15.75" customHeight="1" x14ac:dyDescent="0.3"/>
    <row r="992" s="29" customFormat="1" ht="15.75" customHeight="1" x14ac:dyDescent="0.3"/>
    <row r="993" s="29" customFormat="1" ht="15.75" customHeight="1" x14ac:dyDescent="0.3"/>
    <row r="994" s="29" customFormat="1" ht="15.75" customHeight="1" x14ac:dyDescent="0.3"/>
    <row r="995" s="29" customFormat="1" ht="15.75" customHeight="1" x14ac:dyDescent="0.3"/>
    <row r="996" s="29" customFormat="1" ht="15.75" customHeight="1" x14ac:dyDescent="0.3"/>
    <row r="997" s="29" customFormat="1" ht="15.75" customHeight="1" x14ac:dyDescent="0.3"/>
    <row r="998" s="29" customFormat="1" ht="15.75" customHeight="1" x14ac:dyDescent="0.3"/>
    <row r="999" s="29" customFormat="1" ht="15.75" customHeight="1" x14ac:dyDescent="0.3"/>
    <row r="1000" s="29" customFormat="1" ht="15.75" customHeight="1" x14ac:dyDescent="0.3"/>
  </sheetData>
  <mergeCells count="2">
    <mergeCell ref="A1:F7"/>
    <mergeCell ref="B10:B12"/>
  </mergeCells>
  <phoneticPr fontId="22" type="noConversion"/>
  <pageMargins left="0.78740157499999996" right="0.78740157499999996" top="0.984251969" bottom="0.984251969"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zoomScale="115" zoomScaleNormal="115" workbookViewId="0">
      <selection activeCell="A11" sqref="A11"/>
    </sheetView>
  </sheetViews>
  <sheetFormatPr defaultColWidth="12.6640625" defaultRowHeight="15" customHeight="1" x14ac:dyDescent="0.3"/>
  <cols>
    <col min="1" max="1" width="27.109375" style="29" customWidth="1"/>
    <col min="2" max="2" width="12.44140625" style="29" bestFit="1" customWidth="1"/>
    <col min="3" max="13" width="11" style="29" customWidth="1"/>
    <col min="14" max="14" width="15.33203125" style="29" customWidth="1"/>
    <col min="15" max="26" width="9.109375" style="29" customWidth="1"/>
    <col min="27" max="16384" width="12.6640625" style="29"/>
  </cols>
  <sheetData>
    <row r="1" spans="1:26" ht="24" customHeight="1" x14ac:dyDescent="0.35">
      <c r="A1" s="48" t="s">
        <v>84</v>
      </c>
      <c r="B1" s="35"/>
      <c r="C1" s="35"/>
      <c r="D1" s="35"/>
      <c r="E1" s="35"/>
      <c r="F1" s="35"/>
      <c r="G1" s="35"/>
      <c r="H1" s="35"/>
      <c r="I1" s="35"/>
      <c r="J1" s="35"/>
      <c r="K1" s="35"/>
      <c r="L1" s="35"/>
      <c r="M1" s="35"/>
      <c r="N1" s="36"/>
      <c r="O1" s="35"/>
      <c r="P1" s="35"/>
      <c r="Q1" s="35"/>
      <c r="R1" s="35"/>
      <c r="S1" s="35"/>
      <c r="T1" s="35"/>
      <c r="U1" s="35"/>
      <c r="V1" s="35"/>
      <c r="W1" s="35"/>
      <c r="X1" s="35"/>
      <c r="Y1" s="35"/>
      <c r="Z1" s="35"/>
    </row>
    <row r="2" spans="1:26" ht="17.25" customHeight="1" x14ac:dyDescent="0.3">
      <c r="A2" s="37" t="s">
        <v>12</v>
      </c>
      <c r="B2" s="35"/>
      <c r="C2" s="35"/>
      <c r="D2" s="35"/>
      <c r="E2" s="35"/>
      <c r="F2" s="35"/>
      <c r="G2" s="35"/>
      <c r="H2" s="35"/>
      <c r="I2" s="35"/>
      <c r="J2" s="35"/>
      <c r="K2" s="35"/>
      <c r="L2" s="35"/>
      <c r="M2" s="35"/>
      <c r="N2" s="36"/>
      <c r="O2" s="35"/>
      <c r="P2" s="35"/>
      <c r="Q2" s="35"/>
      <c r="R2" s="35"/>
      <c r="S2" s="35"/>
      <c r="T2" s="35"/>
      <c r="U2" s="35"/>
      <c r="V2" s="35"/>
      <c r="W2" s="35"/>
      <c r="X2" s="35"/>
      <c r="Y2" s="35"/>
      <c r="Z2" s="35"/>
    </row>
    <row r="3" spans="1:26" ht="10.5" customHeight="1" x14ac:dyDescent="0.3">
      <c r="A3" s="35"/>
      <c r="B3" s="35"/>
      <c r="C3" s="35"/>
      <c r="D3" s="35"/>
      <c r="E3" s="35"/>
      <c r="F3" s="35"/>
      <c r="G3" s="35"/>
      <c r="H3" s="35"/>
      <c r="I3" s="35"/>
      <c r="J3" s="35"/>
      <c r="K3" s="35"/>
      <c r="L3" s="35"/>
      <c r="M3" s="35"/>
      <c r="N3" s="36"/>
      <c r="O3" s="35"/>
      <c r="P3" s="35"/>
      <c r="Q3" s="35"/>
      <c r="R3" s="35"/>
      <c r="S3" s="35"/>
      <c r="T3" s="35"/>
      <c r="U3" s="35"/>
      <c r="V3" s="35"/>
      <c r="W3" s="35"/>
      <c r="X3" s="35"/>
      <c r="Y3" s="35"/>
      <c r="Z3" s="35"/>
    </row>
    <row r="4" spans="1:26" s="52" customFormat="1" ht="10.5" customHeight="1" x14ac:dyDescent="0.25">
      <c r="A4" s="49" t="s">
        <v>13</v>
      </c>
      <c r="B4" s="49">
        <v>1</v>
      </c>
      <c r="C4" s="49">
        <v>2</v>
      </c>
      <c r="D4" s="49">
        <v>3</v>
      </c>
      <c r="E4" s="49">
        <v>4</v>
      </c>
      <c r="F4" s="49">
        <v>5</v>
      </c>
      <c r="G4" s="49">
        <v>6</v>
      </c>
      <c r="H4" s="49">
        <v>7</v>
      </c>
      <c r="I4" s="49">
        <v>8</v>
      </c>
      <c r="J4" s="49">
        <v>9</v>
      </c>
      <c r="K4" s="49">
        <v>10</v>
      </c>
      <c r="L4" s="49">
        <v>11</v>
      </c>
      <c r="M4" s="49">
        <v>12</v>
      </c>
      <c r="N4" s="50" t="s">
        <v>14</v>
      </c>
      <c r="O4" s="51"/>
      <c r="P4" s="51"/>
      <c r="Q4" s="51"/>
      <c r="R4" s="51"/>
      <c r="S4" s="51"/>
      <c r="T4" s="51"/>
      <c r="U4" s="51"/>
      <c r="V4" s="51"/>
      <c r="W4" s="51"/>
      <c r="X4" s="51"/>
      <c r="Y4" s="51"/>
      <c r="Z4" s="51"/>
    </row>
    <row r="5" spans="1:26" s="52" customFormat="1" ht="10.5" customHeight="1" x14ac:dyDescent="0.25">
      <c r="A5" s="53" t="s">
        <v>15</v>
      </c>
      <c r="B5" s="54">
        <f t="shared" ref="B5:L5" si="0">B7+B11+B15+B19+B23+B27+B31+B35+B39+B43</f>
        <v>33875</v>
      </c>
      <c r="C5" s="54">
        <f t="shared" si="0"/>
        <v>52125</v>
      </c>
      <c r="D5" s="54">
        <f t="shared" si="0"/>
        <v>58025</v>
      </c>
      <c r="E5" s="54">
        <f t="shared" si="0"/>
        <v>67025</v>
      </c>
      <c r="F5" s="54">
        <f t="shared" si="0"/>
        <v>69575</v>
      </c>
      <c r="G5" s="54">
        <f t="shared" si="0"/>
        <v>73575</v>
      </c>
      <c r="H5" s="54">
        <f t="shared" si="0"/>
        <v>78850</v>
      </c>
      <c r="I5" s="54">
        <f t="shared" si="0"/>
        <v>86550</v>
      </c>
      <c r="J5" s="54">
        <f t="shared" si="0"/>
        <v>94250</v>
      </c>
      <c r="K5" s="54">
        <f t="shared" si="0"/>
        <v>102800</v>
      </c>
      <c r="L5" s="54">
        <f t="shared" si="0"/>
        <v>111000</v>
      </c>
      <c r="M5" s="54">
        <f>M7+M11+M15+M19+M23+M27+M31+M35+M39+M43</f>
        <v>119450</v>
      </c>
      <c r="N5" s="55">
        <f>SUM(B5:M5)</f>
        <v>947100</v>
      </c>
      <c r="O5" s="51"/>
      <c r="P5" s="51"/>
      <c r="Q5" s="51"/>
      <c r="R5" s="51"/>
      <c r="S5" s="51"/>
      <c r="T5" s="51"/>
      <c r="U5" s="51"/>
      <c r="V5" s="51"/>
      <c r="W5" s="51"/>
      <c r="X5" s="51"/>
      <c r="Y5" s="51"/>
      <c r="Z5" s="51"/>
    </row>
    <row r="6" spans="1:26" s="52" customFormat="1" ht="10.5" customHeight="1" x14ac:dyDescent="0.25">
      <c r="A6" s="51"/>
      <c r="B6" s="51"/>
      <c r="C6" s="51"/>
      <c r="D6" s="51"/>
      <c r="E6" s="51"/>
      <c r="F6" s="51"/>
      <c r="G6" s="51"/>
      <c r="H6" s="51"/>
      <c r="I6" s="51"/>
      <c r="J6" s="51"/>
      <c r="K6" s="51"/>
      <c r="L6" s="51"/>
      <c r="M6" s="51"/>
      <c r="N6" s="56"/>
      <c r="O6" s="51"/>
      <c r="P6" s="51"/>
      <c r="Q6" s="51"/>
      <c r="R6" s="51"/>
      <c r="S6" s="51"/>
      <c r="T6" s="51"/>
      <c r="U6" s="51"/>
      <c r="V6" s="51"/>
      <c r="W6" s="51"/>
      <c r="X6" s="51"/>
      <c r="Y6" s="51"/>
      <c r="Z6" s="51"/>
    </row>
    <row r="7" spans="1:26" s="52" customFormat="1" ht="10.5" customHeight="1" x14ac:dyDescent="0.25">
      <c r="A7" s="57" t="str">
        <f>"Vendas de "&amp;InformacoesBasicas!C16</f>
        <v>Vendas de produto 1</v>
      </c>
      <c r="B7" s="58">
        <f t="shared" ref="B7:M7" si="1">B8*B9</f>
        <v>200</v>
      </c>
      <c r="C7" s="58">
        <f t="shared" si="1"/>
        <v>500</v>
      </c>
      <c r="D7" s="58">
        <f t="shared" si="1"/>
        <v>750</v>
      </c>
      <c r="E7" s="58">
        <f t="shared" si="1"/>
        <v>1000</v>
      </c>
      <c r="F7" s="58">
        <f t="shared" si="1"/>
        <v>1200</v>
      </c>
      <c r="G7" s="58">
        <f t="shared" si="1"/>
        <v>2000</v>
      </c>
      <c r="H7" s="58">
        <f t="shared" si="1"/>
        <v>2000</v>
      </c>
      <c r="I7" s="58">
        <f t="shared" si="1"/>
        <v>2000</v>
      </c>
      <c r="J7" s="58">
        <f t="shared" si="1"/>
        <v>2000</v>
      </c>
      <c r="K7" s="58">
        <f t="shared" si="1"/>
        <v>2000</v>
      </c>
      <c r="L7" s="58">
        <f t="shared" si="1"/>
        <v>2500</v>
      </c>
      <c r="M7" s="58">
        <f t="shared" si="1"/>
        <v>2800</v>
      </c>
      <c r="N7" s="59">
        <f t="shared" ref="N7:N9" si="2">SUM(B7:M7)</f>
        <v>18950</v>
      </c>
      <c r="O7" s="51"/>
      <c r="P7" s="51"/>
      <c r="Q7" s="51"/>
      <c r="R7" s="51"/>
      <c r="S7" s="51"/>
      <c r="T7" s="51"/>
      <c r="U7" s="51"/>
      <c r="V7" s="51"/>
      <c r="W7" s="51"/>
      <c r="X7" s="51"/>
      <c r="Y7" s="51"/>
      <c r="Z7" s="51"/>
    </row>
    <row r="8" spans="1:26" s="52" customFormat="1" ht="10.5" customHeight="1" x14ac:dyDescent="0.25">
      <c r="A8" s="51" t="s">
        <v>16</v>
      </c>
      <c r="B8" s="60">
        <v>20</v>
      </c>
      <c r="C8" s="60">
        <v>50</v>
      </c>
      <c r="D8" s="60">
        <v>75</v>
      </c>
      <c r="E8" s="60">
        <v>100</v>
      </c>
      <c r="F8" s="60">
        <v>120</v>
      </c>
      <c r="G8" s="60">
        <v>200</v>
      </c>
      <c r="H8" s="60">
        <v>200</v>
      </c>
      <c r="I8" s="60">
        <v>200</v>
      </c>
      <c r="J8" s="60">
        <v>200</v>
      </c>
      <c r="K8" s="60">
        <v>200</v>
      </c>
      <c r="L8" s="60">
        <v>250</v>
      </c>
      <c r="M8" s="60">
        <v>280</v>
      </c>
      <c r="N8" s="56">
        <f t="shared" si="2"/>
        <v>1895</v>
      </c>
      <c r="O8" s="51"/>
      <c r="P8" s="51"/>
      <c r="Q8" s="51"/>
      <c r="R8" s="51"/>
      <c r="S8" s="51"/>
      <c r="T8" s="51"/>
      <c r="U8" s="51"/>
      <c r="V8" s="51"/>
      <c r="W8" s="51"/>
      <c r="X8" s="51"/>
      <c r="Y8" s="51"/>
      <c r="Z8" s="51"/>
    </row>
    <row r="9" spans="1:26" s="52" customFormat="1" ht="10.5" customHeight="1" x14ac:dyDescent="0.25">
      <c r="A9" s="51" t="str">
        <f>"Preço de "&amp;InformacoesBasicas!C16</f>
        <v>Preço de produto 1</v>
      </c>
      <c r="B9" s="61">
        <v>10</v>
      </c>
      <c r="C9" s="61">
        <v>10</v>
      </c>
      <c r="D9" s="61">
        <v>10</v>
      </c>
      <c r="E9" s="61">
        <v>10</v>
      </c>
      <c r="F9" s="61">
        <v>10</v>
      </c>
      <c r="G9" s="61">
        <v>10</v>
      </c>
      <c r="H9" s="61">
        <v>10</v>
      </c>
      <c r="I9" s="61">
        <v>10</v>
      </c>
      <c r="J9" s="61">
        <v>10</v>
      </c>
      <c r="K9" s="61">
        <v>10</v>
      </c>
      <c r="L9" s="61">
        <v>10</v>
      </c>
      <c r="M9" s="61">
        <v>10</v>
      </c>
      <c r="N9" s="62">
        <f t="shared" si="2"/>
        <v>120</v>
      </c>
      <c r="O9" s="51"/>
      <c r="P9" s="51"/>
      <c r="Q9" s="51"/>
      <c r="R9" s="51"/>
      <c r="S9" s="51"/>
      <c r="T9" s="51"/>
      <c r="U9" s="51"/>
      <c r="V9" s="51"/>
      <c r="W9" s="51"/>
      <c r="X9" s="51"/>
      <c r="Y9" s="51"/>
      <c r="Z9" s="51"/>
    </row>
    <row r="10" spans="1:26" s="52" customFormat="1" ht="10.5" customHeight="1" x14ac:dyDescent="0.25">
      <c r="A10" s="51" t="s">
        <v>80</v>
      </c>
      <c r="B10" s="51"/>
      <c r="C10" s="51"/>
      <c r="D10" s="51"/>
      <c r="E10" s="51"/>
      <c r="F10" s="51"/>
      <c r="G10" s="51"/>
      <c r="H10" s="51"/>
      <c r="I10" s="51"/>
      <c r="J10" s="51"/>
      <c r="K10" s="51"/>
      <c r="L10" s="51"/>
      <c r="M10" s="51"/>
      <c r="N10" s="56"/>
      <c r="O10" s="51"/>
      <c r="P10" s="51"/>
      <c r="Q10" s="51"/>
      <c r="R10" s="51"/>
      <c r="S10" s="51"/>
      <c r="T10" s="51"/>
      <c r="U10" s="51"/>
      <c r="V10" s="51"/>
      <c r="W10" s="51"/>
      <c r="X10" s="51"/>
      <c r="Y10" s="51"/>
      <c r="Z10" s="51"/>
    </row>
    <row r="11" spans="1:26" s="52" customFormat="1" ht="10.5" customHeight="1" x14ac:dyDescent="0.25">
      <c r="A11" s="57" t="str">
        <f>"Vendas de "&amp;InformacoesBasicas!C17</f>
        <v>Vendas de produto 2</v>
      </c>
      <c r="B11" s="58">
        <f t="shared" ref="B11:M11" si="3">B12*B13</f>
        <v>300</v>
      </c>
      <c r="C11" s="58">
        <f t="shared" si="3"/>
        <v>1000</v>
      </c>
      <c r="D11" s="58">
        <f t="shared" si="3"/>
        <v>1000</v>
      </c>
      <c r="E11" s="58">
        <f t="shared" si="3"/>
        <v>1400</v>
      </c>
      <c r="F11" s="58">
        <f t="shared" si="3"/>
        <v>1500</v>
      </c>
      <c r="G11" s="58">
        <f t="shared" si="3"/>
        <v>2200</v>
      </c>
      <c r="H11" s="58">
        <f t="shared" si="3"/>
        <v>2200</v>
      </c>
      <c r="I11" s="58">
        <f t="shared" si="3"/>
        <v>2200</v>
      </c>
      <c r="J11" s="58">
        <f t="shared" si="3"/>
        <v>3000</v>
      </c>
      <c r="K11" s="58">
        <f t="shared" si="3"/>
        <v>4000</v>
      </c>
      <c r="L11" s="58">
        <f t="shared" si="3"/>
        <v>5000</v>
      </c>
      <c r="M11" s="58">
        <f t="shared" si="3"/>
        <v>6000</v>
      </c>
      <c r="N11" s="59">
        <f t="shared" ref="N11:N13" si="4">SUM(B11:M11)</f>
        <v>29800</v>
      </c>
      <c r="O11" s="51"/>
      <c r="P11" s="51"/>
      <c r="Q11" s="51"/>
      <c r="R11" s="51"/>
      <c r="S11" s="51"/>
      <c r="T11" s="51"/>
      <c r="U11" s="51"/>
      <c r="V11" s="51"/>
      <c r="W11" s="51"/>
      <c r="X11" s="51"/>
      <c r="Y11" s="51"/>
      <c r="Z11" s="51"/>
    </row>
    <row r="12" spans="1:26" s="52" customFormat="1" ht="10.5" customHeight="1" x14ac:dyDescent="0.25">
      <c r="A12" s="51" t="s">
        <v>16</v>
      </c>
      <c r="B12" s="60">
        <v>15</v>
      </c>
      <c r="C12" s="60">
        <v>50</v>
      </c>
      <c r="D12" s="60">
        <v>50</v>
      </c>
      <c r="E12" s="60">
        <v>70</v>
      </c>
      <c r="F12" s="60">
        <v>75</v>
      </c>
      <c r="G12" s="60">
        <v>110</v>
      </c>
      <c r="H12" s="60">
        <v>110</v>
      </c>
      <c r="I12" s="60">
        <v>110</v>
      </c>
      <c r="J12" s="60">
        <v>150</v>
      </c>
      <c r="K12" s="60">
        <v>200</v>
      </c>
      <c r="L12" s="60">
        <v>250</v>
      </c>
      <c r="M12" s="60">
        <v>300</v>
      </c>
      <c r="N12" s="56">
        <f t="shared" si="4"/>
        <v>1490</v>
      </c>
      <c r="O12" s="51"/>
      <c r="P12" s="51"/>
      <c r="Q12" s="51"/>
      <c r="R12" s="51"/>
      <c r="S12" s="51"/>
      <c r="T12" s="51"/>
      <c r="U12" s="51"/>
      <c r="V12" s="51"/>
      <c r="W12" s="51"/>
      <c r="X12" s="51"/>
      <c r="Y12" s="51"/>
      <c r="Z12" s="51"/>
    </row>
    <row r="13" spans="1:26" s="52" customFormat="1" ht="10.5" customHeight="1" x14ac:dyDescent="0.25">
      <c r="A13" s="51" t="str">
        <f>"Preço de "&amp;InformacoesBasicas!C17</f>
        <v>Preço de produto 2</v>
      </c>
      <c r="B13" s="61">
        <v>20</v>
      </c>
      <c r="C13" s="61">
        <v>20</v>
      </c>
      <c r="D13" s="61">
        <v>20</v>
      </c>
      <c r="E13" s="61">
        <v>20</v>
      </c>
      <c r="F13" s="61">
        <v>20</v>
      </c>
      <c r="G13" s="61">
        <v>20</v>
      </c>
      <c r="H13" s="61">
        <v>20</v>
      </c>
      <c r="I13" s="61">
        <v>20</v>
      </c>
      <c r="J13" s="61">
        <v>20</v>
      </c>
      <c r="K13" s="61">
        <v>20</v>
      </c>
      <c r="L13" s="61">
        <v>20</v>
      </c>
      <c r="M13" s="61">
        <v>20</v>
      </c>
      <c r="N13" s="62">
        <f t="shared" si="4"/>
        <v>240</v>
      </c>
      <c r="O13" s="51"/>
      <c r="P13" s="51"/>
      <c r="Q13" s="51"/>
      <c r="R13" s="51"/>
      <c r="S13" s="51"/>
      <c r="T13" s="51"/>
      <c r="U13" s="51"/>
      <c r="V13" s="51"/>
      <c r="W13" s="51"/>
      <c r="X13" s="51"/>
      <c r="Y13" s="51"/>
      <c r="Z13" s="51"/>
    </row>
    <row r="14" spans="1:26" s="52" customFormat="1" ht="10.5" customHeight="1" x14ac:dyDescent="0.25">
      <c r="A14" s="51"/>
      <c r="B14" s="51"/>
      <c r="C14" s="51"/>
      <c r="D14" s="51"/>
      <c r="E14" s="51"/>
      <c r="F14" s="51"/>
      <c r="G14" s="51"/>
      <c r="H14" s="51"/>
      <c r="I14" s="51"/>
      <c r="J14" s="51"/>
      <c r="K14" s="51"/>
      <c r="L14" s="51"/>
      <c r="M14" s="51"/>
      <c r="N14" s="56"/>
      <c r="O14" s="51"/>
      <c r="P14" s="51"/>
      <c r="Q14" s="51"/>
      <c r="R14" s="51"/>
      <c r="S14" s="51"/>
      <c r="T14" s="51"/>
      <c r="U14" s="51"/>
      <c r="V14" s="51"/>
      <c r="W14" s="51"/>
      <c r="X14" s="51"/>
      <c r="Y14" s="51"/>
      <c r="Z14" s="51"/>
    </row>
    <row r="15" spans="1:26" s="52" customFormat="1" ht="10.5" customHeight="1" x14ac:dyDescent="0.25">
      <c r="A15" s="57" t="str">
        <f>"Vendas de "&amp;InformacoesBasicas!C18</f>
        <v>Vendas de produto 3</v>
      </c>
      <c r="B15" s="58">
        <f t="shared" ref="B15:M15" si="5">B16*B17</f>
        <v>0</v>
      </c>
      <c r="C15" s="58">
        <f t="shared" si="5"/>
        <v>600</v>
      </c>
      <c r="D15" s="58">
        <f t="shared" si="5"/>
        <v>1500</v>
      </c>
      <c r="E15" s="58">
        <f t="shared" si="5"/>
        <v>2400</v>
      </c>
      <c r="F15" s="58">
        <f t="shared" si="5"/>
        <v>2700</v>
      </c>
      <c r="G15" s="58">
        <f t="shared" si="5"/>
        <v>2700</v>
      </c>
      <c r="H15" s="58">
        <f t="shared" si="5"/>
        <v>2700</v>
      </c>
      <c r="I15" s="58">
        <f t="shared" si="5"/>
        <v>3300</v>
      </c>
      <c r="J15" s="58">
        <f t="shared" si="5"/>
        <v>3300</v>
      </c>
      <c r="K15" s="58">
        <f t="shared" si="5"/>
        <v>4500</v>
      </c>
      <c r="L15" s="58">
        <f t="shared" si="5"/>
        <v>6600</v>
      </c>
      <c r="M15" s="58">
        <f t="shared" si="5"/>
        <v>7500</v>
      </c>
      <c r="N15" s="59">
        <f t="shared" ref="N15:N16" si="6">SUM(B15:M15)</f>
        <v>37800</v>
      </c>
      <c r="O15" s="51"/>
      <c r="P15" s="51"/>
      <c r="Q15" s="51"/>
      <c r="R15" s="51"/>
      <c r="S15" s="51"/>
      <c r="T15" s="51"/>
      <c r="U15" s="51"/>
      <c r="V15" s="51"/>
      <c r="W15" s="51"/>
      <c r="X15" s="51"/>
      <c r="Y15" s="51"/>
      <c r="Z15" s="51"/>
    </row>
    <row r="16" spans="1:26" s="52" customFormat="1" ht="10.5" customHeight="1" x14ac:dyDescent="0.25">
      <c r="A16" s="51" t="s">
        <v>16</v>
      </c>
      <c r="B16" s="60">
        <v>0</v>
      </c>
      <c r="C16" s="60">
        <v>20</v>
      </c>
      <c r="D16" s="60">
        <v>50</v>
      </c>
      <c r="E16" s="60">
        <v>80</v>
      </c>
      <c r="F16" s="60">
        <v>90</v>
      </c>
      <c r="G16" s="60">
        <v>90</v>
      </c>
      <c r="H16" s="60">
        <v>90</v>
      </c>
      <c r="I16" s="60">
        <v>110</v>
      </c>
      <c r="J16" s="60">
        <v>110</v>
      </c>
      <c r="K16" s="60">
        <v>150</v>
      </c>
      <c r="L16" s="60">
        <v>220</v>
      </c>
      <c r="M16" s="60">
        <v>250</v>
      </c>
      <c r="N16" s="56">
        <f t="shared" si="6"/>
        <v>1260</v>
      </c>
      <c r="O16" s="51"/>
      <c r="P16" s="51"/>
      <c r="Q16" s="51"/>
      <c r="R16" s="51"/>
      <c r="S16" s="51"/>
      <c r="T16" s="51"/>
      <c r="U16" s="51"/>
      <c r="V16" s="51"/>
      <c r="W16" s="51"/>
      <c r="X16" s="51"/>
      <c r="Y16" s="51"/>
      <c r="Z16" s="51"/>
    </row>
    <row r="17" spans="1:26" s="52" customFormat="1" ht="10.5" customHeight="1" x14ac:dyDescent="0.25">
      <c r="A17" s="51" t="str">
        <f>"Preço de "&amp;InformacoesBasicas!C18</f>
        <v>Preço de produto 3</v>
      </c>
      <c r="B17" s="61">
        <v>30</v>
      </c>
      <c r="C17" s="61">
        <v>30</v>
      </c>
      <c r="D17" s="61">
        <v>30</v>
      </c>
      <c r="E17" s="61">
        <v>30</v>
      </c>
      <c r="F17" s="61">
        <v>30</v>
      </c>
      <c r="G17" s="61">
        <v>30</v>
      </c>
      <c r="H17" s="61">
        <v>30</v>
      </c>
      <c r="I17" s="61">
        <v>30</v>
      </c>
      <c r="J17" s="61">
        <v>30</v>
      </c>
      <c r="K17" s="61">
        <v>30</v>
      </c>
      <c r="L17" s="61">
        <v>30</v>
      </c>
      <c r="M17" s="61">
        <v>30</v>
      </c>
      <c r="N17" s="62">
        <f>SUM(B17:M17)</f>
        <v>360</v>
      </c>
      <c r="O17" s="51"/>
      <c r="P17" s="51"/>
      <c r="Q17" s="51"/>
      <c r="R17" s="51"/>
      <c r="S17" s="51"/>
      <c r="T17" s="51"/>
      <c r="U17" s="51"/>
      <c r="V17" s="51"/>
      <c r="W17" s="51"/>
      <c r="X17" s="51"/>
      <c r="Y17" s="51"/>
      <c r="Z17" s="51"/>
    </row>
    <row r="18" spans="1:26" s="52" customFormat="1" ht="12" x14ac:dyDescent="0.25">
      <c r="A18" s="51"/>
      <c r="B18" s="51"/>
      <c r="C18" s="51"/>
      <c r="D18" s="51"/>
      <c r="E18" s="51"/>
      <c r="F18" s="51"/>
      <c r="G18" s="51"/>
      <c r="H18" s="51"/>
      <c r="I18" s="51"/>
      <c r="J18" s="51"/>
      <c r="K18" s="51"/>
      <c r="L18" s="51"/>
      <c r="M18" s="51"/>
      <c r="N18" s="56"/>
      <c r="O18" s="51"/>
      <c r="P18" s="51"/>
      <c r="Q18" s="51"/>
      <c r="R18" s="51"/>
      <c r="S18" s="51"/>
      <c r="T18" s="51"/>
      <c r="U18" s="51"/>
      <c r="V18" s="51"/>
      <c r="W18" s="51"/>
      <c r="X18" s="51"/>
      <c r="Y18" s="51"/>
      <c r="Z18" s="51"/>
    </row>
    <row r="19" spans="1:26" s="52" customFormat="1" ht="10.5" customHeight="1" x14ac:dyDescent="0.25">
      <c r="A19" s="57" t="str">
        <f>"Vendas de "&amp;InformacoesBasicas!C19</f>
        <v>Vendas de produto 4</v>
      </c>
      <c r="B19" s="58">
        <f t="shared" ref="B19:M19" si="7">B20*B21</f>
        <v>0</v>
      </c>
      <c r="C19" s="58">
        <f t="shared" si="7"/>
        <v>1600</v>
      </c>
      <c r="D19" s="58">
        <f t="shared" si="7"/>
        <v>1600</v>
      </c>
      <c r="E19" s="58">
        <f t="shared" si="7"/>
        <v>2000</v>
      </c>
      <c r="F19" s="58">
        <f t="shared" si="7"/>
        <v>2400</v>
      </c>
      <c r="G19" s="58">
        <f t="shared" si="7"/>
        <v>2400</v>
      </c>
      <c r="H19" s="58">
        <f t="shared" si="7"/>
        <v>2400</v>
      </c>
      <c r="I19" s="58">
        <f t="shared" si="7"/>
        <v>4800</v>
      </c>
      <c r="J19" s="58">
        <f t="shared" si="7"/>
        <v>7200</v>
      </c>
      <c r="K19" s="58">
        <f t="shared" si="7"/>
        <v>8000</v>
      </c>
      <c r="L19" s="58">
        <f t="shared" si="7"/>
        <v>8000</v>
      </c>
      <c r="M19" s="58">
        <f t="shared" si="7"/>
        <v>18000</v>
      </c>
      <c r="N19" s="59">
        <f t="shared" ref="N19:N21" si="8">SUM(B19:M19)</f>
        <v>58400</v>
      </c>
      <c r="O19" s="51"/>
      <c r="P19" s="51"/>
      <c r="Q19" s="51"/>
      <c r="R19" s="51"/>
      <c r="S19" s="51"/>
      <c r="T19" s="51"/>
      <c r="U19" s="51"/>
      <c r="V19" s="51"/>
      <c r="W19" s="51"/>
      <c r="X19" s="51"/>
      <c r="Y19" s="51"/>
      <c r="Z19" s="51"/>
    </row>
    <row r="20" spans="1:26" s="52" customFormat="1" ht="10.5" customHeight="1" x14ac:dyDescent="0.25">
      <c r="A20" s="51" t="s">
        <v>16</v>
      </c>
      <c r="B20" s="60">
        <v>0</v>
      </c>
      <c r="C20" s="60">
        <v>40</v>
      </c>
      <c r="D20" s="60">
        <v>40</v>
      </c>
      <c r="E20" s="60">
        <v>50</v>
      </c>
      <c r="F20" s="60">
        <v>60</v>
      </c>
      <c r="G20" s="60">
        <v>60</v>
      </c>
      <c r="H20" s="60">
        <v>60</v>
      </c>
      <c r="I20" s="60">
        <v>120</v>
      </c>
      <c r="J20" s="60">
        <v>180</v>
      </c>
      <c r="K20" s="60">
        <v>200</v>
      </c>
      <c r="L20" s="60">
        <v>200</v>
      </c>
      <c r="M20" s="60">
        <v>200</v>
      </c>
      <c r="N20" s="56">
        <f t="shared" si="8"/>
        <v>1210</v>
      </c>
      <c r="O20" s="51"/>
      <c r="P20" s="51"/>
      <c r="Q20" s="51"/>
      <c r="R20" s="51"/>
      <c r="S20" s="51"/>
      <c r="T20" s="51"/>
      <c r="U20" s="51"/>
      <c r="V20" s="51"/>
      <c r="W20" s="51"/>
      <c r="X20" s="51"/>
      <c r="Y20" s="51"/>
      <c r="Z20" s="51"/>
    </row>
    <row r="21" spans="1:26" s="52" customFormat="1" ht="10.5" customHeight="1" x14ac:dyDescent="0.25">
      <c r="A21" s="51" t="str">
        <f>"Preço de "&amp;InformacoesBasicas!C19</f>
        <v>Preço de produto 4</v>
      </c>
      <c r="B21" s="61">
        <v>40</v>
      </c>
      <c r="C21" s="61">
        <v>40</v>
      </c>
      <c r="D21" s="61">
        <v>40</v>
      </c>
      <c r="E21" s="61">
        <v>40</v>
      </c>
      <c r="F21" s="61">
        <v>40</v>
      </c>
      <c r="G21" s="61">
        <v>40</v>
      </c>
      <c r="H21" s="61">
        <v>40</v>
      </c>
      <c r="I21" s="61">
        <v>40</v>
      </c>
      <c r="J21" s="61">
        <v>40</v>
      </c>
      <c r="K21" s="61">
        <v>40</v>
      </c>
      <c r="L21" s="61">
        <v>40</v>
      </c>
      <c r="M21" s="61">
        <v>90</v>
      </c>
      <c r="N21" s="62">
        <f t="shared" si="8"/>
        <v>530</v>
      </c>
      <c r="O21" s="51"/>
      <c r="P21" s="51"/>
      <c r="Q21" s="51"/>
      <c r="R21" s="51"/>
      <c r="S21" s="51"/>
      <c r="T21" s="51"/>
      <c r="U21" s="51"/>
      <c r="V21" s="51"/>
      <c r="W21" s="51"/>
      <c r="X21" s="51"/>
      <c r="Y21" s="51"/>
      <c r="Z21" s="51"/>
    </row>
    <row r="22" spans="1:26" s="52" customFormat="1" ht="10.5" customHeight="1" x14ac:dyDescent="0.25">
      <c r="A22" s="51"/>
      <c r="B22" s="51"/>
      <c r="C22" s="51"/>
      <c r="D22" s="51"/>
      <c r="E22" s="51"/>
      <c r="F22" s="51"/>
      <c r="G22" s="51"/>
      <c r="H22" s="51"/>
      <c r="I22" s="51"/>
      <c r="J22" s="51"/>
      <c r="K22" s="51"/>
      <c r="L22" s="51"/>
      <c r="M22" s="51"/>
      <c r="N22" s="56"/>
      <c r="O22" s="51"/>
      <c r="P22" s="51"/>
      <c r="Q22" s="51"/>
      <c r="R22" s="51"/>
      <c r="S22" s="51"/>
      <c r="T22" s="51"/>
      <c r="U22" s="51"/>
      <c r="V22" s="51"/>
      <c r="W22" s="51"/>
      <c r="X22" s="51"/>
      <c r="Y22" s="51"/>
      <c r="Z22" s="51"/>
    </row>
    <row r="23" spans="1:26" s="52" customFormat="1" ht="10.5" customHeight="1" x14ac:dyDescent="0.25">
      <c r="A23" s="57" t="str">
        <f>"Vendas de "&amp;InformacoesBasicas!C20</f>
        <v>Vendas de produto 5</v>
      </c>
      <c r="B23" s="58">
        <f t="shared" ref="B23:M23" si="9">B24*B25</f>
        <v>4000</v>
      </c>
      <c r="C23" s="58">
        <f t="shared" si="9"/>
        <v>5000</v>
      </c>
      <c r="D23" s="58">
        <f t="shared" si="9"/>
        <v>6000</v>
      </c>
      <c r="E23" s="58">
        <f t="shared" si="9"/>
        <v>7500</v>
      </c>
      <c r="F23" s="58">
        <f t="shared" si="9"/>
        <v>7500</v>
      </c>
      <c r="G23" s="58">
        <f t="shared" si="9"/>
        <v>10000</v>
      </c>
      <c r="H23" s="58">
        <f t="shared" si="9"/>
        <v>11000</v>
      </c>
      <c r="I23" s="58">
        <f t="shared" si="9"/>
        <v>11000</v>
      </c>
      <c r="J23" s="58">
        <f t="shared" si="9"/>
        <v>11000</v>
      </c>
      <c r="K23" s="58">
        <f t="shared" si="9"/>
        <v>12500</v>
      </c>
      <c r="L23" s="58">
        <f t="shared" si="9"/>
        <v>15000</v>
      </c>
      <c r="M23" s="58">
        <f t="shared" si="9"/>
        <v>15000</v>
      </c>
      <c r="N23" s="59">
        <f t="shared" ref="N23:N25" si="10">SUM(B23:M23)</f>
        <v>115500</v>
      </c>
      <c r="O23" s="51"/>
      <c r="P23" s="51"/>
      <c r="Q23" s="51"/>
      <c r="R23" s="51"/>
      <c r="S23" s="51"/>
      <c r="T23" s="51"/>
      <c r="U23" s="51"/>
      <c r="V23" s="51"/>
      <c r="W23" s="51"/>
      <c r="X23" s="51"/>
      <c r="Y23" s="51"/>
      <c r="Z23" s="51"/>
    </row>
    <row r="24" spans="1:26" s="52" customFormat="1" ht="10.5" customHeight="1" x14ac:dyDescent="0.25">
      <c r="A24" s="51" t="s">
        <v>16</v>
      </c>
      <c r="B24" s="60">
        <v>80</v>
      </c>
      <c r="C24" s="60">
        <v>100</v>
      </c>
      <c r="D24" s="60">
        <v>120</v>
      </c>
      <c r="E24" s="60">
        <v>150</v>
      </c>
      <c r="F24" s="60">
        <v>150</v>
      </c>
      <c r="G24" s="60">
        <v>200</v>
      </c>
      <c r="H24" s="60">
        <v>220</v>
      </c>
      <c r="I24" s="60">
        <v>220</v>
      </c>
      <c r="J24" s="60">
        <v>220</v>
      </c>
      <c r="K24" s="60">
        <v>250</v>
      </c>
      <c r="L24" s="60">
        <v>300</v>
      </c>
      <c r="M24" s="60">
        <v>300</v>
      </c>
      <c r="N24" s="56">
        <f t="shared" si="10"/>
        <v>2310</v>
      </c>
      <c r="O24" s="51"/>
      <c r="P24" s="51"/>
      <c r="Q24" s="51"/>
      <c r="R24" s="51"/>
      <c r="S24" s="51"/>
      <c r="T24" s="51"/>
      <c r="U24" s="51"/>
      <c r="V24" s="51"/>
      <c r="W24" s="51"/>
      <c r="X24" s="51"/>
      <c r="Y24" s="51"/>
      <c r="Z24" s="51"/>
    </row>
    <row r="25" spans="1:26" s="52" customFormat="1" ht="10.5" customHeight="1" x14ac:dyDescent="0.25">
      <c r="A25" s="51" t="str">
        <f>"Preço de "&amp;InformacoesBasicas!C20</f>
        <v>Preço de produto 5</v>
      </c>
      <c r="B25" s="61">
        <v>50</v>
      </c>
      <c r="C25" s="61">
        <v>50</v>
      </c>
      <c r="D25" s="61">
        <v>50</v>
      </c>
      <c r="E25" s="61">
        <v>50</v>
      </c>
      <c r="F25" s="61">
        <v>50</v>
      </c>
      <c r="G25" s="61">
        <v>50</v>
      </c>
      <c r="H25" s="61">
        <v>50</v>
      </c>
      <c r="I25" s="61">
        <v>50</v>
      </c>
      <c r="J25" s="61">
        <v>50</v>
      </c>
      <c r="K25" s="61">
        <v>50</v>
      </c>
      <c r="L25" s="61">
        <v>50</v>
      </c>
      <c r="M25" s="61">
        <v>50</v>
      </c>
      <c r="N25" s="62">
        <f t="shared" si="10"/>
        <v>600</v>
      </c>
      <c r="O25" s="51"/>
      <c r="P25" s="51"/>
      <c r="Q25" s="51"/>
      <c r="R25" s="51"/>
      <c r="S25" s="51"/>
      <c r="T25" s="51"/>
      <c r="U25" s="51"/>
      <c r="V25" s="51"/>
      <c r="W25" s="51"/>
      <c r="X25" s="51"/>
      <c r="Y25" s="51"/>
      <c r="Z25" s="51"/>
    </row>
    <row r="26" spans="1:26" s="52" customFormat="1" ht="10.5" customHeight="1" x14ac:dyDescent="0.25">
      <c r="A26" s="51"/>
      <c r="B26" s="51"/>
      <c r="C26" s="51"/>
      <c r="D26" s="51"/>
      <c r="E26" s="51"/>
      <c r="F26" s="51"/>
      <c r="G26" s="51"/>
      <c r="H26" s="51"/>
      <c r="I26" s="51"/>
      <c r="J26" s="51"/>
      <c r="K26" s="51"/>
      <c r="L26" s="51"/>
      <c r="M26" s="51"/>
      <c r="N26" s="56"/>
      <c r="O26" s="51"/>
      <c r="P26" s="51"/>
      <c r="Q26" s="51"/>
      <c r="R26" s="51"/>
      <c r="S26" s="51"/>
      <c r="T26" s="51"/>
      <c r="U26" s="51"/>
      <c r="V26" s="51"/>
      <c r="W26" s="51"/>
      <c r="X26" s="51"/>
      <c r="Y26" s="51"/>
      <c r="Z26" s="51"/>
    </row>
    <row r="27" spans="1:26" s="52" customFormat="1" ht="10.5" customHeight="1" x14ac:dyDescent="0.25">
      <c r="A27" s="57" t="str">
        <f>"Vendas de "&amp;InformacoesBasicas!C21</f>
        <v>Vendas de produto 6</v>
      </c>
      <c r="B27" s="58">
        <f t="shared" ref="B27:M27" si="11">B28*B29</f>
        <v>0</v>
      </c>
      <c r="C27" s="58">
        <f t="shared" si="11"/>
        <v>7000</v>
      </c>
      <c r="D27" s="58">
        <f t="shared" si="11"/>
        <v>8400</v>
      </c>
      <c r="E27" s="58">
        <f t="shared" si="11"/>
        <v>9100</v>
      </c>
      <c r="F27" s="58">
        <f t="shared" si="11"/>
        <v>8400</v>
      </c>
      <c r="G27" s="58">
        <f t="shared" si="11"/>
        <v>8400</v>
      </c>
      <c r="H27" s="58">
        <f t="shared" si="11"/>
        <v>8400</v>
      </c>
      <c r="I27" s="58">
        <f t="shared" si="11"/>
        <v>8400</v>
      </c>
      <c r="J27" s="58">
        <f t="shared" si="11"/>
        <v>10500</v>
      </c>
      <c r="K27" s="58">
        <f t="shared" si="11"/>
        <v>10500</v>
      </c>
      <c r="L27" s="58">
        <f t="shared" si="11"/>
        <v>12600</v>
      </c>
      <c r="M27" s="58">
        <f t="shared" si="11"/>
        <v>12600</v>
      </c>
      <c r="N27" s="59">
        <f t="shared" ref="N27:N29" si="12">SUM(B27:M27)</f>
        <v>104300</v>
      </c>
      <c r="O27" s="51"/>
      <c r="P27" s="51"/>
      <c r="Q27" s="51"/>
      <c r="R27" s="51"/>
      <c r="S27" s="51"/>
      <c r="T27" s="51"/>
      <c r="U27" s="51"/>
      <c r="V27" s="51"/>
      <c r="W27" s="51"/>
      <c r="X27" s="51"/>
      <c r="Y27" s="51"/>
      <c r="Z27" s="51"/>
    </row>
    <row r="28" spans="1:26" s="52" customFormat="1" ht="10.5" customHeight="1" x14ac:dyDescent="0.25">
      <c r="A28" s="51" t="s">
        <v>16</v>
      </c>
      <c r="B28" s="60">
        <v>0</v>
      </c>
      <c r="C28" s="60">
        <v>100</v>
      </c>
      <c r="D28" s="60">
        <v>120</v>
      </c>
      <c r="E28" s="60">
        <v>130</v>
      </c>
      <c r="F28" s="60">
        <v>120</v>
      </c>
      <c r="G28" s="60">
        <v>120</v>
      </c>
      <c r="H28" s="60">
        <v>120</v>
      </c>
      <c r="I28" s="60">
        <v>120</v>
      </c>
      <c r="J28" s="60">
        <v>150</v>
      </c>
      <c r="K28" s="60">
        <v>150</v>
      </c>
      <c r="L28" s="60">
        <v>180</v>
      </c>
      <c r="M28" s="60">
        <v>180</v>
      </c>
      <c r="N28" s="56">
        <f t="shared" si="12"/>
        <v>1490</v>
      </c>
      <c r="O28" s="51"/>
      <c r="P28" s="51"/>
      <c r="Q28" s="51"/>
      <c r="R28" s="51"/>
      <c r="S28" s="51"/>
      <c r="T28" s="51"/>
      <c r="U28" s="51"/>
      <c r="V28" s="51"/>
      <c r="W28" s="51"/>
      <c r="X28" s="51"/>
      <c r="Y28" s="51"/>
      <c r="Z28" s="51"/>
    </row>
    <row r="29" spans="1:26" s="52" customFormat="1" ht="10.5" customHeight="1" x14ac:dyDescent="0.25">
      <c r="A29" s="51" t="str">
        <f>"Preço de "&amp;InformacoesBasicas!C21</f>
        <v>Preço de produto 6</v>
      </c>
      <c r="B29" s="61">
        <v>70</v>
      </c>
      <c r="C29" s="61">
        <v>70</v>
      </c>
      <c r="D29" s="61">
        <v>70</v>
      </c>
      <c r="E29" s="61">
        <v>70</v>
      </c>
      <c r="F29" s="61">
        <v>70</v>
      </c>
      <c r="G29" s="61">
        <v>70</v>
      </c>
      <c r="H29" s="61">
        <v>70</v>
      </c>
      <c r="I29" s="61">
        <v>70</v>
      </c>
      <c r="J29" s="61">
        <v>70</v>
      </c>
      <c r="K29" s="61">
        <v>70</v>
      </c>
      <c r="L29" s="61">
        <v>70</v>
      </c>
      <c r="M29" s="61">
        <v>70</v>
      </c>
      <c r="N29" s="62">
        <f t="shared" si="12"/>
        <v>840</v>
      </c>
      <c r="O29" s="51"/>
      <c r="P29" s="51"/>
      <c r="Q29" s="51"/>
      <c r="R29" s="51"/>
      <c r="S29" s="51"/>
      <c r="T29" s="51"/>
      <c r="U29" s="51"/>
      <c r="V29" s="51"/>
      <c r="W29" s="51"/>
      <c r="X29" s="51"/>
      <c r="Y29" s="51"/>
      <c r="Z29" s="51"/>
    </row>
    <row r="30" spans="1:26" s="52" customFormat="1" ht="10.5" customHeight="1" x14ac:dyDescent="0.25">
      <c r="A30" s="51"/>
      <c r="B30" s="51"/>
      <c r="C30" s="51"/>
      <c r="D30" s="51"/>
      <c r="E30" s="51"/>
      <c r="F30" s="51"/>
      <c r="G30" s="51"/>
      <c r="H30" s="51"/>
      <c r="I30" s="51"/>
      <c r="J30" s="51"/>
      <c r="K30" s="51"/>
      <c r="L30" s="51"/>
      <c r="M30" s="51"/>
      <c r="N30" s="56"/>
      <c r="O30" s="51"/>
      <c r="P30" s="51"/>
      <c r="Q30" s="51"/>
      <c r="R30" s="51"/>
      <c r="S30" s="51"/>
      <c r="T30" s="51"/>
      <c r="U30" s="51"/>
      <c r="V30" s="51"/>
      <c r="W30" s="51"/>
      <c r="X30" s="51"/>
      <c r="Y30" s="51"/>
      <c r="Z30" s="51"/>
    </row>
    <row r="31" spans="1:26" s="52" customFormat="1" ht="10.5" customHeight="1" x14ac:dyDescent="0.25">
      <c r="A31" s="57" t="str">
        <f>"Vendas de "&amp;InformacoesBasicas!C22</f>
        <v>Vendas de produto 7</v>
      </c>
      <c r="B31" s="58">
        <f t="shared" ref="B31:M31" si="13">B32*B33</f>
        <v>0</v>
      </c>
      <c r="C31" s="58">
        <f t="shared" si="13"/>
        <v>2250</v>
      </c>
      <c r="D31" s="58">
        <f t="shared" si="13"/>
        <v>3000</v>
      </c>
      <c r="E31" s="58">
        <f t="shared" si="13"/>
        <v>4875</v>
      </c>
      <c r="F31" s="58">
        <f t="shared" si="13"/>
        <v>4875</v>
      </c>
      <c r="G31" s="58">
        <f t="shared" si="13"/>
        <v>4875</v>
      </c>
      <c r="H31" s="58">
        <f t="shared" si="13"/>
        <v>6750</v>
      </c>
      <c r="I31" s="58">
        <f t="shared" si="13"/>
        <v>6750</v>
      </c>
      <c r="J31" s="58">
        <f t="shared" si="13"/>
        <v>6750</v>
      </c>
      <c r="K31" s="58">
        <f t="shared" si="13"/>
        <v>7500</v>
      </c>
      <c r="L31" s="58">
        <f t="shared" si="13"/>
        <v>7500</v>
      </c>
      <c r="M31" s="58">
        <f t="shared" si="13"/>
        <v>7500</v>
      </c>
      <c r="N31" s="59">
        <f t="shared" ref="N31:N33" si="14">SUM(B31:M31)</f>
        <v>62625</v>
      </c>
      <c r="O31" s="51"/>
      <c r="P31" s="51"/>
      <c r="Q31" s="51"/>
      <c r="R31" s="51"/>
      <c r="S31" s="51"/>
      <c r="T31" s="51"/>
      <c r="U31" s="51"/>
      <c r="V31" s="51"/>
      <c r="W31" s="51"/>
      <c r="X31" s="51"/>
      <c r="Y31" s="51"/>
      <c r="Z31" s="51"/>
    </row>
    <row r="32" spans="1:26" s="52" customFormat="1" ht="10.5" customHeight="1" x14ac:dyDescent="0.25">
      <c r="A32" s="51" t="s">
        <v>16</v>
      </c>
      <c r="B32" s="60">
        <v>0</v>
      </c>
      <c r="C32" s="60">
        <v>30</v>
      </c>
      <c r="D32" s="60">
        <v>40</v>
      </c>
      <c r="E32" s="60">
        <v>65</v>
      </c>
      <c r="F32" s="60">
        <v>65</v>
      </c>
      <c r="G32" s="60">
        <v>65</v>
      </c>
      <c r="H32" s="60">
        <v>90</v>
      </c>
      <c r="I32" s="60">
        <v>90</v>
      </c>
      <c r="J32" s="60">
        <v>90</v>
      </c>
      <c r="K32" s="60">
        <v>100</v>
      </c>
      <c r="L32" s="60">
        <v>100</v>
      </c>
      <c r="M32" s="60">
        <v>100</v>
      </c>
      <c r="N32" s="56">
        <f t="shared" si="14"/>
        <v>835</v>
      </c>
      <c r="O32" s="51"/>
      <c r="P32" s="51"/>
      <c r="Q32" s="51"/>
      <c r="R32" s="51"/>
      <c r="S32" s="51"/>
      <c r="T32" s="51"/>
      <c r="U32" s="51"/>
      <c r="V32" s="51"/>
      <c r="W32" s="51"/>
      <c r="X32" s="51"/>
      <c r="Y32" s="51"/>
      <c r="Z32" s="51"/>
    </row>
    <row r="33" spans="1:26" s="52" customFormat="1" ht="10.5" customHeight="1" x14ac:dyDescent="0.25">
      <c r="A33" s="51" t="str">
        <f>"Preço de "&amp;InformacoesBasicas!C25</f>
        <v>Preço de produto 10</v>
      </c>
      <c r="B33" s="61">
        <v>75</v>
      </c>
      <c r="C33" s="61">
        <v>75</v>
      </c>
      <c r="D33" s="61">
        <v>75</v>
      </c>
      <c r="E33" s="61">
        <v>75</v>
      </c>
      <c r="F33" s="61">
        <v>75</v>
      </c>
      <c r="G33" s="61">
        <v>75</v>
      </c>
      <c r="H33" s="61">
        <v>75</v>
      </c>
      <c r="I33" s="61">
        <v>75</v>
      </c>
      <c r="J33" s="61">
        <v>75</v>
      </c>
      <c r="K33" s="61">
        <v>75</v>
      </c>
      <c r="L33" s="61">
        <v>75</v>
      </c>
      <c r="M33" s="61">
        <v>75</v>
      </c>
      <c r="N33" s="62">
        <f t="shared" si="14"/>
        <v>900</v>
      </c>
      <c r="O33" s="51"/>
      <c r="P33" s="51"/>
      <c r="Q33" s="51"/>
      <c r="R33" s="51"/>
      <c r="S33" s="51"/>
      <c r="T33" s="51"/>
      <c r="U33" s="51"/>
      <c r="V33" s="51"/>
      <c r="W33" s="51"/>
      <c r="X33" s="51"/>
      <c r="Y33" s="51"/>
      <c r="Z33" s="51"/>
    </row>
    <row r="34" spans="1:26" s="52" customFormat="1" ht="10.5" customHeight="1" x14ac:dyDescent="0.25">
      <c r="A34" s="51"/>
      <c r="B34" s="51"/>
      <c r="C34" s="51"/>
      <c r="D34" s="51"/>
      <c r="E34" s="51"/>
      <c r="F34" s="51"/>
      <c r="G34" s="51"/>
      <c r="H34" s="51"/>
      <c r="I34" s="51"/>
      <c r="J34" s="51"/>
      <c r="K34" s="51"/>
      <c r="L34" s="51"/>
      <c r="M34" s="51"/>
      <c r="N34" s="56"/>
      <c r="O34" s="51"/>
      <c r="P34" s="51"/>
      <c r="Q34" s="51"/>
      <c r="R34" s="51"/>
      <c r="S34" s="51"/>
      <c r="T34" s="51"/>
      <c r="U34" s="51"/>
      <c r="V34" s="51"/>
      <c r="W34" s="51"/>
      <c r="X34" s="51"/>
      <c r="Y34" s="51"/>
      <c r="Z34" s="51"/>
    </row>
    <row r="35" spans="1:26" s="52" customFormat="1" ht="10.5" customHeight="1" x14ac:dyDescent="0.25">
      <c r="A35" s="57" t="str">
        <f>"Vendas de "&amp;InformacoesBasicas!C23</f>
        <v>Vendas de produto 8</v>
      </c>
      <c r="B35" s="58">
        <f t="shared" ref="B35:M35" si="15">B36*B37</f>
        <v>6375</v>
      </c>
      <c r="C35" s="58">
        <f t="shared" si="15"/>
        <v>6375</v>
      </c>
      <c r="D35" s="58">
        <f t="shared" si="15"/>
        <v>6375</v>
      </c>
      <c r="E35" s="58">
        <f t="shared" si="15"/>
        <v>9350</v>
      </c>
      <c r="F35" s="58">
        <f t="shared" si="15"/>
        <v>8500</v>
      </c>
      <c r="G35" s="58">
        <f t="shared" si="15"/>
        <v>8500</v>
      </c>
      <c r="H35" s="58">
        <f t="shared" si="15"/>
        <v>8500</v>
      </c>
      <c r="I35" s="58">
        <f t="shared" si="15"/>
        <v>8500</v>
      </c>
      <c r="J35" s="58">
        <f t="shared" si="15"/>
        <v>8500</v>
      </c>
      <c r="K35" s="58">
        <f t="shared" si="15"/>
        <v>10200</v>
      </c>
      <c r="L35" s="58">
        <f t="shared" si="15"/>
        <v>10200</v>
      </c>
      <c r="M35" s="58">
        <f t="shared" si="15"/>
        <v>11050</v>
      </c>
      <c r="N35" s="59">
        <f t="shared" ref="N35:N37" si="16">SUM(B35:M35)</f>
        <v>102425</v>
      </c>
      <c r="O35" s="51"/>
      <c r="P35" s="51"/>
      <c r="Q35" s="51"/>
      <c r="R35" s="51"/>
      <c r="S35" s="51"/>
      <c r="T35" s="51"/>
      <c r="U35" s="51"/>
      <c r="V35" s="51"/>
      <c r="W35" s="51"/>
      <c r="X35" s="51"/>
      <c r="Y35" s="51"/>
      <c r="Z35" s="51"/>
    </row>
    <row r="36" spans="1:26" s="52" customFormat="1" ht="10.5" customHeight="1" x14ac:dyDescent="0.25">
      <c r="A36" s="51" t="s">
        <v>16</v>
      </c>
      <c r="B36" s="60">
        <v>75</v>
      </c>
      <c r="C36" s="60">
        <v>75</v>
      </c>
      <c r="D36" s="60">
        <v>75</v>
      </c>
      <c r="E36" s="60">
        <v>110</v>
      </c>
      <c r="F36" s="60">
        <v>100</v>
      </c>
      <c r="G36" s="60">
        <v>100</v>
      </c>
      <c r="H36" s="60">
        <v>100</v>
      </c>
      <c r="I36" s="60">
        <v>100</v>
      </c>
      <c r="J36" s="60">
        <v>100</v>
      </c>
      <c r="K36" s="60">
        <v>120</v>
      </c>
      <c r="L36" s="60">
        <v>120</v>
      </c>
      <c r="M36" s="60">
        <v>130</v>
      </c>
      <c r="N36" s="56">
        <f t="shared" si="16"/>
        <v>1205</v>
      </c>
      <c r="O36" s="51"/>
      <c r="P36" s="51"/>
      <c r="Q36" s="51"/>
      <c r="R36" s="51"/>
      <c r="S36" s="51"/>
      <c r="T36" s="51"/>
      <c r="U36" s="51"/>
      <c r="V36" s="51"/>
      <c r="W36" s="51"/>
      <c r="X36" s="51"/>
      <c r="Y36" s="51"/>
      <c r="Z36" s="51"/>
    </row>
    <row r="37" spans="1:26" s="52" customFormat="1" ht="10.5" customHeight="1" x14ac:dyDescent="0.25">
      <c r="A37" s="51" t="str">
        <f>"Preço de "&amp;InformacoesBasicas!C29</f>
        <v xml:space="preserve">Preço de </v>
      </c>
      <c r="B37" s="61">
        <v>85</v>
      </c>
      <c r="C37" s="61">
        <v>85</v>
      </c>
      <c r="D37" s="61">
        <v>85</v>
      </c>
      <c r="E37" s="61">
        <v>85</v>
      </c>
      <c r="F37" s="61">
        <v>85</v>
      </c>
      <c r="G37" s="61">
        <v>85</v>
      </c>
      <c r="H37" s="61">
        <v>85</v>
      </c>
      <c r="I37" s="61">
        <v>85</v>
      </c>
      <c r="J37" s="61">
        <v>85</v>
      </c>
      <c r="K37" s="61">
        <v>85</v>
      </c>
      <c r="L37" s="61">
        <v>85</v>
      </c>
      <c r="M37" s="61">
        <v>85</v>
      </c>
      <c r="N37" s="62">
        <f t="shared" si="16"/>
        <v>1020</v>
      </c>
      <c r="O37" s="51"/>
      <c r="P37" s="51"/>
      <c r="Q37" s="51"/>
      <c r="R37" s="51"/>
      <c r="S37" s="51"/>
      <c r="T37" s="51"/>
      <c r="U37" s="51"/>
      <c r="V37" s="51"/>
      <c r="W37" s="51"/>
      <c r="X37" s="51"/>
      <c r="Y37" s="51"/>
      <c r="Z37" s="51"/>
    </row>
    <row r="38" spans="1:26" s="52" customFormat="1" ht="10.5" customHeight="1" x14ac:dyDescent="0.25">
      <c r="A38" s="51"/>
      <c r="B38" s="51"/>
      <c r="C38" s="51"/>
      <c r="D38" s="51"/>
      <c r="E38" s="51"/>
      <c r="F38" s="51"/>
      <c r="G38" s="51"/>
      <c r="H38" s="51"/>
      <c r="I38" s="51"/>
      <c r="J38" s="51"/>
      <c r="K38" s="51"/>
      <c r="L38" s="51"/>
      <c r="M38" s="51"/>
      <c r="N38" s="56"/>
      <c r="O38" s="51"/>
      <c r="P38" s="51"/>
      <c r="Q38" s="51"/>
      <c r="R38" s="51"/>
      <c r="S38" s="51"/>
      <c r="T38" s="51"/>
      <c r="U38" s="51"/>
      <c r="V38" s="51"/>
      <c r="W38" s="51"/>
      <c r="X38" s="51"/>
      <c r="Y38" s="51"/>
      <c r="Z38" s="51"/>
    </row>
    <row r="39" spans="1:26" s="52" customFormat="1" ht="10.5" customHeight="1" x14ac:dyDescent="0.25">
      <c r="A39" s="57" t="str">
        <f>"Vendas de "&amp;InformacoesBasicas!C24</f>
        <v>Vendas de produto 9</v>
      </c>
      <c r="B39" s="58">
        <f t="shared" ref="B39:M39" si="17">B40*B41</f>
        <v>0</v>
      </c>
      <c r="C39" s="58">
        <f t="shared" si="17"/>
        <v>4800</v>
      </c>
      <c r="D39" s="58">
        <f t="shared" si="17"/>
        <v>6400</v>
      </c>
      <c r="E39" s="58">
        <f t="shared" si="17"/>
        <v>6400</v>
      </c>
      <c r="F39" s="58">
        <f t="shared" si="17"/>
        <v>7200</v>
      </c>
      <c r="G39" s="58">
        <f t="shared" si="17"/>
        <v>7200</v>
      </c>
      <c r="H39" s="58">
        <f t="shared" si="17"/>
        <v>9600</v>
      </c>
      <c r="I39" s="58">
        <f t="shared" si="17"/>
        <v>12000</v>
      </c>
      <c r="J39" s="58">
        <f t="shared" si="17"/>
        <v>14400</v>
      </c>
      <c r="K39" s="58">
        <f t="shared" si="17"/>
        <v>16000</v>
      </c>
      <c r="L39" s="58">
        <f t="shared" si="17"/>
        <v>16000</v>
      </c>
      <c r="M39" s="58">
        <f t="shared" si="17"/>
        <v>16000</v>
      </c>
      <c r="N39" s="59">
        <f t="shared" ref="N39:N41" si="18">SUM(B39:M39)</f>
        <v>116000</v>
      </c>
      <c r="O39" s="51"/>
      <c r="P39" s="51"/>
      <c r="Q39" s="51"/>
      <c r="R39" s="51"/>
      <c r="S39" s="51"/>
      <c r="T39" s="51"/>
      <c r="U39" s="51"/>
      <c r="V39" s="51"/>
      <c r="W39" s="51"/>
      <c r="X39" s="51"/>
      <c r="Y39" s="51"/>
      <c r="Z39" s="51"/>
    </row>
    <row r="40" spans="1:26" s="52" customFormat="1" ht="10.5" customHeight="1" x14ac:dyDescent="0.25">
      <c r="A40" s="51" t="s">
        <v>16</v>
      </c>
      <c r="B40" s="60">
        <v>0</v>
      </c>
      <c r="C40" s="60">
        <v>30</v>
      </c>
      <c r="D40" s="60">
        <v>40</v>
      </c>
      <c r="E40" s="60">
        <v>40</v>
      </c>
      <c r="F40" s="60">
        <v>45</v>
      </c>
      <c r="G40" s="60">
        <v>45</v>
      </c>
      <c r="H40" s="60">
        <v>60</v>
      </c>
      <c r="I40" s="60">
        <v>75</v>
      </c>
      <c r="J40" s="60">
        <v>90</v>
      </c>
      <c r="K40" s="60">
        <v>100</v>
      </c>
      <c r="L40" s="60">
        <v>100</v>
      </c>
      <c r="M40" s="60">
        <v>100</v>
      </c>
      <c r="N40" s="56">
        <f t="shared" si="18"/>
        <v>725</v>
      </c>
      <c r="O40" s="51"/>
      <c r="P40" s="51"/>
      <c r="Q40" s="51"/>
      <c r="R40" s="51"/>
      <c r="S40" s="51"/>
      <c r="T40" s="51"/>
      <c r="U40" s="51"/>
      <c r="V40" s="51"/>
      <c r="W40" s="51"/>
      <c r="X40" s="51"/>
      <c r="Y40" s="51"/>
      <c r="Z40" s="51"/>
    </row>
    <row r="41" spans="1:26" s="52" customFormat="1" ht="10.5" customHeight="1" x14ac:dyDescent="0.25">
      <c r="A41" s="51" t="str">
        <f>"Preço de "&amp;InformacoesBasicas!C33</f>
        <v xml:space="preserve">Preço de </v>
      </c>
      <c r="B41" s="61">
        <v>160</v>
      </c>
      <c r="C41" s="61">
        <v>160</v>
      </c>
      <c r="D41" s="61">
        <v>160</v>
      </c>
      <c r="E41" s="61">
        <v>160</v>
      </c>
      <c r="F41" s="61">
        <v>160</v>
      </c>
      <c r="G41" s="61">
        <v>160</v>
      </c>
      <c r="H41" s="61">
        <v>160</v>
      </c>
      <c r="I41" s="61">
        <v>160</v>
      </c>
      <c r="J41" s="61">
        <v>160</v>
      </c>
      <c r="K41" s="61">
        <v>160</v>
      </c>
      <c r="L41" s="61">
        <v>160</v>
      </c>
      <c r="M41" s="61">
        <v>160</v>
      </c>
      <c r="N41" s="62">
        <f t="shared" si="18"/>
        <v>1920</v>
      </c>
      <c r="O41" s="51"/>
      <c r="P41" s="51"/>
      <c r="Q41" s="51"/>
      <c r="R41" s="51"/>
      <c r="S41" s="51"/>
      <c r="T41" s="51"/>
      <c r="U41" s="51"/>
      <c r="V41" s="51"/>
      <c r="W41" s="51"/>
      <c r="X41" s="51"/>
      <c r="Y41" s="51"/>
      <c r="Z41" s="51"/>
    </row>
    <row r="42" spans="1:26" s="52" customFormat="1" ht="10.5" customHeight="1" x14ac:dyDescent="0.25">
      <c r="A42" s="51"/>
      <c r="B42" s="51"/>
      <c r="C42" s="51"/>
      <c r="D42" s="51"/>
      <c r="E42" s="51"/>
      <c r="F42" s="51"/>
      <c r="G42" s="51"/>
      <c r="H42" s="51"/>
      <c r="I42" s="51"/>
      <c r="J42" s="51"/>
      <c r="K42" s="51"/>
      <c r="L42" s="51"/>
      <c r="M42" s="51"/>
      <c r="N42" s="56"/>
      <c r="O42" s="51"/>
      <c r="P42" s="51"/>
      <c r="Q42" s="51"/>
      <c r="R42" s="51"/>
      <c r="S42" s="51"/>
      <c r="T42" s="51"/>
      <c r="U42" s="51"/>
      <c r="V42" s="51"/>
      <c r="W42" s="51"/>
      <c r="X42" s="51"/>
      <c r="Y42" s="51"/>
      <c r="Z42" s="51"/>
    </row>
    <row r="43" spans="1:26" s="52" customFormat="1" ht="10.5" customHeight="1" x14ac:dyDescent="0.25">
      <c r="A43" s="57" t="str">
        <f>"Vendas de "&amp;InformacoesBasicas!C25</f>
        <v>Vendas de produto 10</v>
      </c>
      <c r="B43" s="58">
        <f t="shared" ref="B43:M43" si="19">B44*B45</f>
        <v>23000</v>
      </c>
      <c r="C43" s="58">
        <f t="shared" si="19"/>
        <v>23000</v>
      </c>
      <c r="D43" s="58">
        <f t="shared" si="19"/>
        <v>23000</v>
      </c>
      <c r="E43" s="58">
        <f t="shared" si="19"/>
        <v>23000</v>
      </c>
      <c r="F43" s="58">
        <f t="shared" si="19"/>
        <v>25300</v>
      </c>
      <c r="G43" s="58">
        <f t="shared" si="19"/>
        <v>25300</v>
      </c>
      <c r="H43" s="58">
        <f t="shared" si="19"/>
        <v>25300</v>
      </c>
      <c r="I43" s="58">
        <f t="shared" si="19"/>
        <v>27600</v>
      </c>
      <c r="J43" s="58">
        <f t="shared" si="19"/>
        <v>27600</v>
      </c>
      <c r="K43" s="58">
        <f t="shared" si="19"/>
        <v>27600</v>
      </c>
      <c r="L43" s="58">
        <f t="shared" si="19"/>
        <v>27600</v>
      </c>
      <c r="M43" s="58">
        <f t="shared" si="19"/>
        <v>23000</v>
      </c>
      <c r="N43" s="59">
        <f t="shared" ref="N43:N45" si="20">SUM(B43:M43)</f>
        <v>301300</v>
      </c>
      <c r="O43" s="51"/>
      <c r="P43" s="51"/>
      <c r="Q43" s="51"/>
      <c r="R43" s="51"/>
      <c r="S43" s="51"/>
      <c r="T43" s="51"/>
      <c r="U43" s="51"/>
      <c r="V43" s="51"/>
      <c r="W43" s="51"/>
      <c r="X43" s="51"/>
      <c r="Y43" s="51"/>
      <c r="Z43" s="51"/>
    </row>
    <row r="44" spans="1:26" s="52" customFormat="1" ht="10.5" customHeight="1" x14ac:dyDescent="0.25">
      <c r="A44" s="51" t="s">
        <v>16</v>
      </c>
      <c r="B44" s="60">
        <v>100</v>
      </c>
      <c r="C44" s="60">
        <v>100</v>
      </c>
      <c r="D44" s="60">
        <v>100</v>
      </c>
      <c r="E44" s="60">
        <v>100</v>
      </c>
      <c r="F44" s="60">
        <v>110</v>
      </c>
      <c r="G44" s="60">
        <v>110</v>
      </c>
      <c r="H44" s="60">
        <v>110</v>
      </c>
      <c r="I44" s="60">
        <v>120</v>
      </c>
      <c r="J44" s="60">
        <v>120</v>
      </c>
      <c r="K44" s="60">
        <v>120</v>
      </c>
      <c r="L44" s="60">
        <v>120</v>
      </c>
      <c r="M44" s="60">
        <v>100</v>
      </c>
      <c r="N44" s="56">
        <f t="shared" si="20"/>
        <v>1310</v>
      </c>
      <c r="O44" s="51"/>
      <c r="P44" s="51"/>
      <c r="Q44" s="51"/>
      <c r="R44" s="51"/>
      <c r="S44" s="51"/>
      <c r="T44" s="51"/>
      <c r="U44" s="51"/>
      <c r="V44" s="51"/>
      <c r="W44" s="51"/>
      <c r="X44" s="51"/>
      <c r="Y44" s="51"/>
      <c r="Z44" s="51"/>
    </row>
    <row r="45" spans="1:26" s="52" customFormat="1" ht="10.5" customHeight="1" x14ac:dyDescent="0.25">
      <c r="A45" s="51" t="str">
        <f>"Preço de "&amp;InformacoesBasicas!C37</f>
        <v xml:space="preserve">Preço de </v>
      </c>
      <c r="B45" s="61">
        <v>230</v>
      </c>
      <c r="C45" s="61">
        <v>230</v>
      </c>
      <c r="D45" s="61">
        <v>230</v>
      </c>
      <c r="E45" s="61">
        <v>230</v>
      </c>
      <c r="F45" s="61">
        <v>230</v>
      </c>
      <c r="G45" s="61">
        <v>230</v>
      </c>
      <c r="H45" s="61">
        <v>230</v>
      </c>
      <c r="I45" s="61">
        <v>230</v>
      </c>
      <c r="J45" s="61">
        <v>230</v>
      </c>
      <c r="K45" s="61">
        <v>230</v>
      </c>
      <c r="L45" s="61">
        <v>230</v>
      </c>
      <c r="M45" s="61">
        <v>230</v>
      </c>
      <c r="N45" s="62">
        <f t="shared" si="20"/>
        <v>2760</v>
      </c>
      <c r="O45" s="51"/>
      <c r="P45" s="51"/>
      <c r="Q45" s="51"/>
      <c r="R45" s="51"/>
      <c r="S45" s="51"/>
      <c r="T45" s="51"/>
      <c r="U45" s="51"/>
      <c r="V45" s="51"/>
      <c r="W45" s="51"/>
      <c r="X45" s="51"/>
      <c r="Y45" s="51"/>
      <c r="Z45" s="51"/>
    </row>
    <row r="46" spans="1:26" ht="10.5" customHeight="1" x14ac:dyDescent="0.3">
      <c r="A46" s="35"/>
      <c r="B46" s="35"/>
      <c r="C46" s="35"/>
      <c r="D46" s="35"/>
      <c r="E46" s="35"/>
      <c r="F46" s="35"/>
      <c r="G46" s="35"/>
      <c r="H46" s="35"/>
      <c r="I46" s="35"/>
      <c r="J46" s="35"/>
      <c r="K46" s="35"/>
      <c r="L46" s="35"/>
      <c r="M46" s="35"/>
      <c r="N46" s="36"/>
      <c r="O46" s="35"/>
      <c r="P46" s="35"/>
      <c r="Q46" s="35"/>
      <c r="R46" s="35"/>
      <c r="S46" s="35"/>
      <c r="T46" s="35"/>
      <c r="U46" s="35"/>
      <c r="V46" s="35"/>
      <c r="W46" s="35"/>
      <c r="X46" s="35"/>
      <c r="Y46" s="35"/>
      <c r="Z46" s="35"/>
    </row>
    <row r="47" spans="1:26" ht="10.5" customHeight="1" x14ac:dyDescent="0.3">
      <c r="A47" s="35"/>
      <c r="B47" s="35"/>
      <c r="C47" s="35"/>
      <c r="D47" s="35"/>
      <c r="E47" s="35"/>
      <c r="F47" s="35"/>
      <c r="G47" s="35"/>
      <c r="H47" s="35"/>
      <c r="I47" s="35"/>
      <c r="J47" s="35"/>
      <c r="K47" s="35"/>
      <c r="L47" s="35"/>
      <c r="M47" s="35"/>
      <c r="N47" s="36"/>
      <c r="O47" s="35"/>
      <c r="P47" s="35"/>
      <c r="Q47" s="35"/>
      <c r="R47" s="35"/>
      <c r="S47" s="35"/>
      <c r="T47" s="35"/>
      <c r="U47" s="35"/>
      <c r="V47" s="35"/>
      <c r="W47" s="35"/>
      <c r="X47" s="35"/>
      <c r="Y47" s="35"/>
      <c r="Z47" s="35"/>
    </row>
    <row r="48" spans="1:26" ht="10.5" customHeight="1" x14ac:dyDescent="0.3">
      <c r="A48" s="35"/>
      <c r="B48" s="35"/>
      <c r="C48" s="35"/>
      <c r="D48" s="35"/>
      <c r="E48" s="35"/>
      <c r="F48" s="35"/>
      <c r="G48" s="35"/>
      <c r="H48" s="35"/>
      <c r="I48" s="35"/>
      <c r="J48" s="35"/>
      <c r="K48" s="35"/>
      <c r="L48" s="35"/>
      <c r="M48" s="35"/>
      <c r="N48" s="36"/>
      <c r="O48" s="35"/>
      <c r="P48" s="35"/>
      <c r="Q48" s="35"/>
      <c r="R48" s="35"/>
      <c r="S48" s="35"/>
      <c r="T48" s="35"/>
      <c r="U48" s="35"/>
      <c r="V48" s="35"/>
      <c r="W48" s="35"/>
      <c r="X48" s="35"/>
      <c r="Y48" s="35"/>
      <c r="Z48" s="35"/>
    </row>
    <row r="49" spans="1:26" ht="10.5" customHeight="1" x14ac:dyDescent="0.3">
      <c r="A49" s="35"/>
      <c r="B49" s="35"/>
      <c r="C49" s="35"/>
      <c r="D49" s="35"/>
      <c r="E49" s="35"/>
      <c r="F49" s="35"/>
      <c r="G49" s="35"/>
      <c r="H49" s="35"/>
      <c r="I49" s="35"/>
      <c r="J49" s="35"/>
      <c r="K49" s="35"/>
      <c r="L49" s="35"/>
      <c r="M49" s="35"/>
      <c r="N49" s="36"/>
      <c r="O49" s="35"/>
      <c r="P49" s="35"/>
      <c r="Q49" s="35"/>
      <c r="R49" s="35"/>
      <c r="S49" s="35"/>
      <c r="T49" s="35"/>
      <c r="U49" s="35"/>
      <c r="V49" s="35"/>
      <c r="W49" s="35"/>
      <c r="X49" s="35"/>
      <c r="Y49" s="35"/>
      <c r="Z49" s="35"/>
    </row>
    <row r="50" spans="1:26" ht="10.5" customHeight="1" x14ac:dyDescent="0.3">
      <c r="A50" s="35"/>
      <c r="B50" s="35"/>
      <c r="C50" s="35"/>
      <c r="D50" s="35"/>
      <c r="E50" s="35"/>
      <c r="F50" s="35"/>
      <c r="G50" s="35"/>
      <c r="H50" s="35"/>
      <c r="I50" s="35"/>
      <c r="J50" s="35"/>
      <c r="K50" s="35"/>
      <c r="L50" s="35"/>
      <c r="M50" s="35"/>
      <c r="N50" s="36"/>
      <c r="O50" s="35"/>
      <c r="P50" s="35"/>
      <c r="Q50" s="35"/>
      <c r="R50" s="35"/>
      <c r="S50" s="35"/>
      <c r="T50" s="35"/>
      <c r="U50" s="35"/>
      <c r="V50" s="35"/>
      <c r="W50" s="35"/>
      <c r="X50" s="35"/>
      <c r="Y50" s="35"/>
      <c r="Z50" s="35"/>
    </row>
    <row r="51" spans="1:26" ht="10.5" customHeight="1" x14ac:dyDescent="0.3">
      <c r="A51" s="35"/>
      <c r="B51" s="35"/>
      <c r="C51" s="35"/>
      <c r="D51" s="35"/>
      <c r="E51" s="35"/>
      <c r="F51" s="35"/>
      <c r="G51" s="35"/>
      <c r="H51" s="35"/>
      <c r="I51" s="35"/>
      <c r="J51" s="35"/>
      <c r="K51" s="35"/>
      <c r="L51" s="35"/>
      <c r="M51" s="35"/>
      <c r="N51" s="36"/>
      <c r="O51" s="35"/>
      <c r="P51" s="35"/>
      <c r="Q51" s="35"/>
      <c r="R51" s="35"/>
      <c r="S51" s="35"/>
      <c r="T51" s="35"/>
      <c r="U51" s="35"/>
      <c r="V51" s="35"/>
      <c r="W51" s="35"/>
      <c r="X51" s="35"/>
      <c r="Y51" s="35"/>
      <c r="Z51" s="35"/>
    </row>
    <row r="52" spans="1:26" ht="10.5" customHeight="1" x14ac:dyDescent="0.3">
      <c r="A52" s="35"/>
      <c r="B52" s="35"/>
      <c r="C52" s="35"/>
      <c r="D52" s="35"/>
      <c r="E52" s="35"/>
      <c r="F52" s="35"/>
      <c r="G52" s="35"/>
      <c r="H52" s="35"/>
      <c r="I52" s="35"/>
      <c r="J52" s="35"/>
      <c r="K52" s="35"/>
      <c r="L52" s="35"/>
      <c r="M52" s="35"/>
      <c r="N52" s="36"/>
      <c r="O52" s="35"/>
      <c r="P52" s="35"/>
      <c r="Q52" s="35"/>
      <c r="R52" s="35"/>
      <c r="S52" s="35"/>
      <c r="T52" s="35"/>
      <c r="U52" s="35"/>
      <c r="V52" s="35"/>
      <c r="W52" s="35"/>
      <c r="X52" s="35"/>
      <c r="Y52" s="35"/>
      <c r="Z52" s="35"/>
    </row>
    <row r="53" spans="1:26" ht="10.5" customHeight="1" x14ac:dyDescent="0.3">
      <c r="A53" s="35"/>
      <c r="B53" s="35"/>
      <c r="C53" s="35"/>
      <c r="D53" s="35"/>
      <c r="E53" s="35"/>
      <c r="F53" s="35"/>
      <c r="G53" s="35"/>
      <c r="H53" s="35"/>
      <c r="I53" s="35"/>
      <c r="J53" s="35"/>
      <c r="K53" s="35"/>
      <c r="L53" s="35"/>
      <c r="M53" s="35"/>
      <c r="N53" s="36"/>
      <c r="O53" s="35"/>
      <c r="P53" s="35"/>
      <c r="Q53" s="35"/>
      <c r="R53" s="35"/>
      <c r="S53" s="35"/>
      <c r="T53" s="35"/>
      <c r="U53" s="35"/>
      <c r="V53" s="35"/>
      <c r="W53" s="35"/>
      <c r="X53" s="35"/>
      <c r="Y53" s="35"/>
      <c r="Z53" s="35"/>
    </row>
    <row r="54" spans="1:26" ht="10.5" customHeight="1" x14ac:dyDescent="0.3">
      <c r="A54" s="35"/>
      <c r="B54" s="35"/>
      <c r="C54" s="35"/>
      <c r="D54" s="35"/>
      <c r="E54" s="35"/>
      <c r="F54" s="35"/>
      <c r="G54" s="35"/>
      <c r="H54" s="35"/>
      <c r="I54" s="35"/>
      <c r="J54" s="35"/>
      <c r="K54" s="35"/>
      <c r="L54" s="35"/>
      <c r="M54" s="35"/>
      <c r="N54" s="36"/>
      <c r="O54" s="35"/>
      <c r="P54" s="35"/>
      <c r="Q54" s="35"/>
      <c r="R54" s="35"/>
      <c r="S54" s="35"/>
      <c r="T54" s="35"/>
      <c r="U54" s="35"/>
      <c r="V54" s="35"/>
      <c r="W54" s="35"/>
      <c r="X54" s="35"/>
      <c r="Y54" s="35"/>
      <c r="Z54" s="35"/>
    </row>
    <row r="55" spans="1:26" ht="10.5" customHeight="1" x14ac:dyDescent="0.3">
      <c r="A55" s="35"/>
      <c r="B55" s="35"/>
      <c r="C55" s="35"/>
      <c r="D55" s="35"/>
      <c r="E55" s="35"/>
      <c r="F55" s="35"/>
      <c r="G55" s="35"/>
      <c r="H55" s="35"/>
      <c r="I55" s="35"/>
      <c r="J55" s="35"/>
      <c r="K55" s="35"/>
      <c r="L55" s="35"/>
      <c r="M55" s="35"/>
      <c r="N55" s="36"/>
      <c r="O55" s="35"/>
      <c r="P55" s="35"/>
      <c r="Q55" s="35"/>
      <c r="R55" s="35"/>
      <c r="S55" s="35"/>
      <c r="T55" s="35"/>
      <c r="U55" s="35"/>
      <c r="V55" s="35"/>
      <c r="W55" s="35"/>
      <c r="X55" s="35"/>
      <c r="Y55" s="35"/>
      <c r="Z55" s="35"/>
    </row>
    <row r="56" spans="1:26" ht="10.5" customHeight="1" x14ac:dyDescent="0.3">
      <c r="A56" s="35"/>
      <c r="B56" s="35"/>
      <c r="C56" s="35"/>
      <c r="D56" s="35"/>
      <c r="E56" s="35"/>
      <c r="F56" s="35"/>
      <c r="G56" s="35"/>
      <c r="H56" s="35"/>
      <c r="I56" s="35"/>
      <c r="J56" s="35"/>
      <c r="K56" s="35"/>
      <c r="L56" s="35"/>
      <c r="M56" s="35"/>
      <c r="N56" s="36"/>
      <c r="O56" s="35"/>
      <c r="P56" s="35"/>
      <c r="Q56" s="35"/>
      <c r="R56" s="35"/>
      <c r="S56" s="35"/>
      <c r="T56" s="35"/>
      <c r="U56" s="35"/>
      <c r="V56" s="35"/>
      <c r="W56" s="35"/>
      <c r="X56" s="35"/>
      <c r="Y56" s="35"/>
      <c r="Z56" s="35"/>
    </row>
    <row r="57" spans="1:26" ht="10.5" customHeight="1" x14ac:dyDescent="0.3">
      <c r="A57" s="35"/>
      <c r="B57" s="35"/>
      <c r="C57" s="35"/>
      <c r="D57" s="35"/>
      <c r="E57" s="35"/>
      <c r="F57" s="35"/>
      <c r="G57" s="35"/>
      <c r="H57" s="35"/>
      <c r="I57" s="35"/>
      <c r="J57" s="35"/>
      <c r="K57" s="35"/>
      <c r="L57" s="35"/>
      <c r="M57" s="35"/>
      <c r="N57" s="36"/>
      <c r="O57" s="35"/>
      <c r="P57" s="35"/>
      <c r="Q57" s="35"/>
      <c r="R57" s="35"/>
      <c r="S57" s="35"/>
      <c r="T57" s="35"/>
      <c r="U57" s="35"/>
      <c r="V57" s="35"/>
      <c r="W57" s="35"/>
      <c r="X57" s="35"/>
      <c r="Y57" s="35"/>
      <c r="Z57" s="35"/>
    </row>
    <row r="58" spans="1:26" ht="10.5" customHeight="1" x14ac:dyDescent="0.3">
      <c r="A58" s="35"/>
      <c r="B58" s="35"/>
      <c r="C58" s="35"/>
      <c r="D58" s="35"/>
      <c r="E58" s="35"/>
      <c r="F58" s="35"/>
      <c r="G58" s="35"/>
      <c r="H58" s="35"/>
      <c r="I58" s="35"/>
      <c r="J58" s="35"/>
      <c r="K58" s="35"/>
      <c r="L58" s="35"/>
      <c r="M58" s="35"/>
      <c r="N58" s="36"/>
      <c r="O58" s="35"/>
      <c r="P58" s="35"/>
      <c r="Q58" s="35"/>
      <c r="R58" s="35"/>
      <c r="S58" s="35"/>
      <c r="T58" s="35"/>
      <c r="U58" s="35"/>
      <c r="V58" s="35"/>
      <c r="W58" s="35"/>
      <c r="X58" s="35"/>
      <c r="Y58" s="35"/>
      <c r="Z58" s="35"/>
    </row>
    <row r="59" spans="1:26" ht="10.5" customHeight="1" x14ac:dyDescent="0.3">
      <c r="A59" s="35"/>
      <c r="B59" s="35"/>
      <c r="C59" s="35"/>
      <c r="D59" s="35"/>
      <c r="E59" s="35"/>
      <c r="F59" s="35"/>
      <c r="G59" s="35"/>
      <c r="H59" s="35"/>
      <c r="I59" s="35"/>
      <c r="J59" s="35"/>
      <c r="K59" s="35"/>
      <c r="L59" s="35"/>
      <c r="M59" s="35"/>
      <c r="N59" s="36"/>
      <c r="O59" s="35"/>
      <c r="P59" s="35"/>
      <c r="Q59" s="35"/>
      <c r="R59" s="35"/>
      <c r="S59" s="35"/>
      <c r="T59" s="35"/>
      <c r="U59" s="35"/>
      <c r="V59" s="35"/>
      <c r="W59" s="35"/>
      <c r="X59" s="35"/>
      <c r="Y59" s="35"/>
      <c r="Z59" s="35"/>
    </row>
    <row r="60" spans="1:26" ht="10.5" customHeight="1" x14ac:dyDescent="0.3">
      <c r="A60" s="35"/>
      <c r="B60" s="35"/>
      <c r="C60" s="35"/>
      <c r="D60" s="35"/>
      <c r="E60" s="35"/>
      <c r="F60" s="35"/>
      <c r="G60" s="35"/>
      <c r="H60" s="35"/>
      <c r="I60" s="35"/>
      <c r="J60" s="35"/>
      <c r="K60" s="35"/>
      <c r="L60" s="35"/>
      <c r="M60" s="35"/>
      <c r="N60" s="36"/>
      <c r="O60" s="35"/>
      <c r="P60" s="35"/>
      <c r="Q60" s="35"/>
      <c r="R60" s="35"/>
      <c r="S60" s="35"/>
      <c r="T60" s="35"/>
      <c r="U60" s="35"/>
      <c r="V60" s="35"/>
      <c r="W60" s="35"/>
      <c r="X60" s="35"/>
      <c r="Y60" s="35"/>
      <c r="Z60" s="35"/>
    </row>
    <row r="61" spans="1:26" ht="10.5" customHeight="1" x14ac:dyDescent="0.3">
      <c r="A61" s="35"/>
      <c r="B61" s="35"/>
      <c r="C61" s="35"/>
      <c r="D61" s="35"/>
      <c r="E61" s="35"/>
      <c r="F61" s="35"/>
      <c r="G61" s="35"/>
      <c r="H61" s="35"/>
      <c r="I61" s="35"/>
      <c r="J61" s="35"/>
      <c r="K61" s="35"/>
      <c r="L61" s="35"/>
      <c r="M61" s="35"/>
      <c r="N61" s="36"/>
      <c r="O61" s="35"/>
      <c r="P61" s="35"/>
      <c r="Q61" s="35"/>
      <c r="R61" s="35"/>
      <c r="S61" s="35"/>
      <c r="T61" s="35"/>
      <c r="U61" s="35"/>
      <c r="V61" s="35"/>
      <c r="W61" s="35"/>
      <c r="X61" s="35"/>
      <c r="Y61" s="35"/>
      <c r="Z61" s="35"/>
    </row>
    <row r="62" spans="1:26" ht="10.5" customHeight="1" x14ac:dyDescent="0.3">
      <c r="A62" s="35"/>
      <c r="B62" s="35"/>
      <c r="C62" s="35"/>
      <c r="D62" s="35"/>
      <c r="E62" s="35"/>
      <c r="F62" s="35"/>
      <c r="G62" s="35"/>
      <c r="H62" s="35"/>
      <c r="I62" s="35"/>
      <c r="J62" s="35"/>
      <c r="K62" s="35"/>
      <c r="L62" s="35"/>
      <c r="M62" s="35"/>
      <c r="N62" s="36"/>
      <c r="O62" s="35"/>
      <c r="P62" s="35"/>
      <c r="Q62" s="35"/>
      <c r="R62" s="35"/>
      <c r="S62" s="35"/>
      <c r="T62" s="35"/>
      <c r="U62" s="35"/>
      <c r="V62" s="35"/>
      <c r="W62" s="35"/>
      <c r="X62" s="35"/>
      <c r="Y62" s="35"/>
      <c r="Z62" s="35"/>
    </row>
    <row r="63" spans="1:26" ht="10.5" customHeight="1" x14ac:dyDescent="0.3">
      <c r="A63" s="35"/>
      <c r="B63" s="35"/>
      <c r="C63" s="35"/>
      <c r="D63" s="35"/>
      <c r="E63" s="35"/>
      <c r="F63" s="35"/>
      <c r="G63" s="35"/>
      <c r="H63" s="35"/>
      <c r="I63" s="35"/>
      <c r="J63" s="35"/>
      <c r="K63" s="35"/>
      <c r="L63" s="35"/>
      <c r="M63" s="35"/>
      <c r="N63" s="36"/>
      <c r="O63" s="35"/>
      <c r="P63" s="35"/>
      <c r="Q63" s="35"/>
      <c r="R63" s="35"/>
      <c r="S63" s="35"/>
      <c r="T63" s="35"/>
      <c r="U63" s="35"/>
      <c r="V63" s="35"/>
      <c r="W63" s="35"/>
      <c r="X63" s="35"/>
      <c r="Y63" s="35"/>
      <c r="Z63" s="35"/>
    </row>
    <row r="64" spans="1:26" ht="10.5" customHeight="1" x14ac:dyDescent="0.3">
      <c r="A64" s="35"/>
      <c r="B64" s="35"/>
      <c r="C64" s="35"/>
      <c r="D64" s="35"/>
      <c r="E64" s="35"/>
      <c r="F64" s="35"/>
      <c r="G64" s="35"/>
      <c r="H64" s="35"/>
      <c r="I64" s="35"/>
      <c r="J64" s="35"/>
      <c r="K64" s="35"/>
      <c r="L64" s="35"/>
      <c r="M64" s="35"/>
      <c r="N64" s="36"/>
      <c r="O64" s="35"/>
      <c r="P64" s="35"/>
      <c r="Q64" s="35"/>
      <c r="R64" s="35"/>
      <c r="S64" s="35"/>
      <c r="T64" s="35"/>
      <c r="U64" s="35"/>
      <c r="V64" s="35"/>
      <c r="W64" s="35"/>
      <c r="X64" s="35"/>
      <c r="Y64" s="35"/>
      <c r="Z64" s="35"/>
    </row>
    <row r="65" spans="1:26" ht="10.5" customHeight="1" x14ac:dyDescent="0.3">
      <c r="A65" s="35"/>
      <c r="B65" s="35"/>
      <c r="C65" s="35"/>
      <c r="D65" s="35"/>
      <c r="E65" s="35"/>
      <c r="F65" s="35"/>
      <c r="G65" s="35"/>
      <c r="H65" s="35"/>
      <c r="I65" s="35"/>
      <c r="J65" s="35"/>
      <c r="K65" s="35"/>
      <c r="L65" s="35"/>
      <c r="M65" s="35"/>
      <c r="N65" s="36"/>
      <c r="O65" s="35"/>
      <c r="P65" s="35"/>
      <c r="Q65" s="35"/>
      <c r="R65" s="35"/>
      <c r="S65" s="35"/>
      <c r="T65" s="35"/>
      <c r="U65" s="35"/>
      <c r="V65" s="35"/>
      <c r="W65" s="35"/>
      <c r="X65" s="35"/>
      <c r="Y65" s="35"/>
      <c r="Z65" s="35"/>
    </row>
    <row r="66" spans="1:26" ht="10.5" customHeight="1" x14ac:dyDescent="0.3">
      <c r="A66" s="35"/>
      <c r="B66" s="35"/>
      <c r="C66" s="35"/>
      <c r="D66" s="35"/>
      <c r="E66" s="35"/>
      <c r="F66" s="35"/>
      <c r="G66" s="35"/>
      <c r="H66" s="35"/>
      <c r="I66" s="35"/>
      <c r="J66" s="35"/>
      <c r="K66" s="35"/>
      <c r="L66" s="35"/>
      <c r="M66" s="35"/>
      <c r="N66" s="36"/>
      <c r="O66" s="35"/>
      <c r="P66" s="35"/>
      <c r="Q66" s="35"/>
      <c r="R66" s="35"/>
      <c r="S66" s="35"/>
      <c r="T66" s="35"/>
      <c r="U66" s="35"/>
      <c r="V66" s="35"/>
      <c r="W66" s="35"/>
      <c r="X66" s="35"/>
      <c r="Y66" s="35"/>
      <c r="Z66" s="35"/>
    </row>
    <row r="67" spans="1:26" ht="10.5" customHeight="1" x14ac:dyDescent="0.3">
      <c r="A67" s="35"/>
      <c r="B67" s="35"/>
      <c r="C67" s="35"/>
      <c r="D67" s="35"/>
      <c r="E67" s="35"/>
      <c r="F67" s="35"/>
      <c r="G67" s="35"/>
      <c r="H67" s="35"/>
      <c r="I67" s="35"/>
      <c r="J67" s="35"/>
      <c r="K67" s="35"/>
      <c r="L67" s="35"/>
      <c r="M67" s="35"/>
      <c r="N67" s="36"/>
      <c r="O67" s="35"/>
      <c r="P67" s="35"/>
      <c r="Q67" s="35"/>
      <c r="R67" s="35"/>
      <c r="S67" s="35"/>
      <c r="T67" s="35"/>
      <c r="U67" s="35"/>
      <c r="V67" s="35"/>
      <c r="W67" s="35"/>
      <c r="X67" s="35"/>
      <c r="Y67" s="35"/>
      <c r="Z67" s="35"/>
    </row>
    <row r="68" spans="1:26" ht="10.5" customHeight="1" x14ac:dyDescent="0.3">
      <c r="A68" s="35"/>
      <c r="B68" s="35"/>
      <c r="C68" s="35"/>
      <c r="D68" s="35"/>
      <c r="E68" s="35"/>
      <c r="F68" s="35"/>
      <c r="G68" s="35"/>
      <c r="H68" s="35"/>
      <c r="I68" s="35"/>
      <c r="J68" s="35"/>
      <c r="K68" s="35"/>
      <c r="L68" s="35"/>
      <c r="M68" s="35"/>
      <c r="N68" s="36"/>
      <c r="O68" s="35"/>
      <c r="P68" s="35"/>
      <c r="Q68" s="35"/>
      <c r="R68" s="35"/>
      <c r="S68" s="35"/>
      <c r="T68" s="35"/>
      <c r="U68" s="35"/>
      <c r="V68" s="35"/>
      <c r="W68" s="35"/>
      <c r="X68" s="35"/>
      <c r="Y68" s="35"/>
      <c r="Z68" s="35"/>
    </row>
    <row r="69" spans="1:26" ht="10.5" customHeight="1" x14ac:dyDescent="0.3">
      <c r="A69" s="35"/>
      <c r="B69" s="35"/>
      <c r="C69" s="35"/>
      <c r="D69" s="35"/>
      <c r="E69" s="35"/>
      <c r="F69" s="35"/>
      <c r="G69" s="35"/>
      <c r="H69" s="35"/>
      <c r="I69" s="35"/>
      <c r="J69" s="35"/>
      <c r="K69" s="35"/>
      <c r="L69" s="35"/>
      <c r="M69" s="35"/>
      <c r="N69" s="36"/>
      <c r="O69" s="35"/>
      <c r="P69" s="35"/>
      <c r="Q69" s="35"/>
      <c r="R69" s="35"/>
      <c r="S69" s="35"/>
      <c r="T69" s="35"/>
      <c r="U69" s="35"/>
      <c r="V69" s="35"/>
      <c r="W69" s="35"/>
      <c r="X69" s="35"/>
      <c r="Y69" s="35"/>
      <c r="Z69" s="35"/>
    </row>
    <row r="70" spans="1:26" ht="10.5" customHeight="1" x14ac:dyDescent="0.3">
      <c r="A70" s="35"/>
      <c r="B70" s="35"/>
      <c r="C70" s="35"/>
      <c r="D70" s="35"/>
      <c r="E70" s="35"/>
      <c r="F70" s="35"/>
      <c r="G70" s="35"/>
      <c r="H70" s="35"/>
      <c r="I70" s="35"/>
      <c r="J70" s="35"/>
      <c r="K70" s="35"/>
      <c r="L70" s="35"/>
      <c r="M70" s="35"/>
      <c r="N70" s="36"/>
      <c r="O70" s="35"/>
      <c r="P70" s="35"/>
      <c r="Q70" s="35"/>
      <c r="R70" s="35"/>
      <c r="S70" s="35"/>
      <c r="T70" s="35"/>
      <c r="U70" s="35"/>
      <c r="V70" s="35"/>
      <c r="W70" s="35"/>
      <c r="X70" s="35"/>
      <c r="Y70" s="35"/>
      <c r="Z70" s="35"/>
    </row>
    <row r="71" spans="1:26" ht="10.5" customHeight="1" x14ac:dyDescent="0.3">
      <c r="A71" s="35"/>
      <c r="B71" s="35"/>
      <c r="C71" s="35"/>
      <c r="D71" s="35"/>
      <c r="E71" s="35"/>
      <c r="F71" s="35"/>
      <c r="G71" s="35"/>
      <c r="H71" s="35"/>
      <c r="I71" s="35"/>
      <c r="J71" s="35"/>
      <c r="K71" s="35"/>
      <c r="L71" s="35"/>
      <c r="M71" s="35"/>
      <c r="N71" s="36"/>
      <c r="O71" s="35"/>
      <c r="P71" s="35"/>
      <c r="Q71" s="35"/>
      <c r="R71" s="35"/>
      <c r="S71" s="35"/>
      <c r="T71" s="35"/>
      <c r="U71" s="35"/>
      <c r="V71" s="35"/>
      <c r="W71" s="35"/>
      <c r="X71" s="35"/>
      <c r="Y71" s="35"/>
      <c r="Z71" s="35"/>
    </row>
    <row r="72" spans="1:26" ht="10.5" customHeight="1" x14ac:dyDescent="0.3">
      <c r="A72" s="35"/>
      <c r="B72" s="35"/>
      <c r="C72" s="35"/>
      <c r="D72" s="35"/>
      <c r="E72" s="35"/>
      <c r="F72" s="35"/>
      <c r="G72" s="35"/>
      <c r="H72" s="35"/>
      <c r="I72" s="35"/>
      <c r="J72" s="35"/>
      <c r="K72" s="35"/>
      <c r="L72" s="35"/>
      <c r="M72" s="35"/>
      <c r="N72" s="36"/>
      <c r="O72" s="35"/>
      <c r="P72" s="35"/>
      <c r="Q72" s="35"/>
      <c r="R72" s="35"/>
      <c r="S72" s="35"/>
      <c r="T72" s="35"/>
      <c r="U72" s="35"/>
      <c r="V72" s="35"/>
      <c r="W72" s="35"/>
      <c r="X72" s="35"/>
      <c r="Y72" s="35"/>
      <c r="Z72" s="35"/>
    </row>
    <row r="73" spans="1:26" ht="10.5" customHeight="1" x14ac:dyDescent="0.3">
      <c r="A73" s="35"/>
      <c r="B73" s="35"/>
      <c r="C73" s="35"/>
      <c r="D73" s="35"/>
      <c r="E73" s="35"/>
      <c r="F73" s="35"/>
      <c r="G73" s="35"/>
      <c r="H73" s="35"/>
      <c r="I73" s="35"/>
      <c r="J73" s="35"/>
      <c r="K73" s="35"/>
      <c r="L73" s="35"/>
      <c r="M73" s="35"/>
      <c r="N73" s="36"/>
      <c r="O73" s="35"/>
      <c r="P73" s="35"/>
      <c r="Q73" s="35"/>
      <c r="R73" s="35"/>
      <c r="S73" s="35"/>
      <c r="T73" s="35"/>
      <c r="U73" s="35"/>
      <c r="V73" s="35"/>
      <c r="W73" s="35"/>
      <c r="X73" s="35"/>
      <c r="Y73" s="35"/>
      <c r="Z73" s="35"/>
    </row>
    <row r="74" spans="1:26" ht="10.5" customHeight="1" x14ac:dyDescent="0.3">
      <c r="A74" s="35"/>
      <c r="B74" s="35"/>
      <c r="C74" s="35"/>
      <c r="D74" s="35"/>
      <c r="E74" s="35"/>
      <c r="F74" s="35"/>
      <c r="G74" s="35"/>
      <c r="H74" s="35"/>
      <c r="I74" s="35"/>
      <c r="J74" s="35"/>
      <c r="K74" s="35"/>
      <c r="L74" s="35"/>
      <c r="M74" s="35"/>
      <c r="N74" s="36"/>
      <c r="O74" s="35"/>
      <c r="P74" s="35"/>
      <c r="Q74" s="35"/>
      <c r="R74" s="35"/>
      <c r="S74" s="35"/>
      <c r="T74" s="35"/>
      <c r="U74" s="35"/>
      <c r="V74" s="35"/>
      <c r="W74" s="35"/>
      <c r="X74" s="35"/>
      <c r="Y74" s="35"/>
      <c r="Z74" s="35"/>
    </row>
    <row r="75" spans="1:26" ht="10.5" customHeight="1" x14ac:dyDescent="0.3">
      <c r="A75" s="35"/>
      <c r="B75" s="35"/>
      <c r="C75" s="35"/>
      <c r="D75" s="35"/>
      <c r="E75" s="35"/>
      <c r="F75" s="35"/>
      <c r="G75" s="35"/>
      <c r="H75" s="35"/>
      <c r="I75" s="35"/>
      <c r="J75" s="35"/>
      <c r="K75" s="35"/>
      <c r="L75" s="35"/>
      <c r="M75" s="35"/>
      <c r="N75" s="36"/>
      <c r="O75" s="35"/>
      <c r="P75" s="35"/>
      <c r="Q75" s="35"/>
      <c r="R75" s="35"/>
      <c r="S75" s="35"/>
      <c r="T75" s="35"/>
      <c r="U75" s="35"/>
      <c r="V75" s="35"/>
      <c r="W75" s="35"/>
      <c r="X75" s="35"/>
      <c r="Y75" s="35"/>
      <c r="Z75" s="35"/>
    </row>
    <row r="76" spans="1:26" ht="10.5" customHeight="1" x14ac:dyDescent="0.3">
      <c r="A76" s="35"/>
      <c r="B76" s="35"/>
      <c r="C76" s="35"/>
      <c r="D76" s="35"/>
      <c r="E76" s="35"/>
      <c r="F76" s="35"/>
      <c r="G76" s="35"/>
      <c r="H76" s="35"/>
      <c r="I76" s="35"/>
      <c r="J76" s="35"/>
      <c r="K76" s="35"/>
      <c r="L76" s="35"/>
      <c r="M76" s="35"/>
      <c r="N76" s="36"/>
      <c r="O76" s="35"/>
      <c r="P76" s="35"/>
      <c r="Q76" s="35"/>
      <c r="R76" s="35"/>
      <c r="S76" s="35"/>
      <c r="T76" s="35"/>
      <c r="U76" s="35"/>
      <c r="V76" s="35"/>
      <c r="W76" s="35"/>
      <c r="X76" s="35"/>
      <c r="Y76" s="35"/>
      <c r="Z76" s="35"/>
    </row>
    <row r="77" spans="1:26" ht="10.5" customHeight="1" x14ac:dyDescent="0.3">
      <c r="A77" s="35"/>
      <c r="B77" s="35"/>
      <c r="C77" s="35"/>
      <c r="D77" s="35"/>
      <c r="E77" s="35"/>
      <c r="F77" s="35"/>
      <c r="G77" s="35"/>
      <c r="H77" s="35"/>
      <c r="I77" s="35"/>
      <c r="J77" s="35"/>
      <c r="K77" s="35"/>
      <c r="L77" s="35"/>
      <c r="M77" s="35"/>
      <c r="N77" s="36"/>
      <c r="O77" s="35"/>
      <c r="P77" s="35"/>
      <c r="Q77" s="35"/>
      <c r="R77" s="35"/>
      <c r="S77" s="35"/>
      <c r="T77" s="35"/>
      <c r="U77" s="35"/>
      <c r="V77" s="35"/>
      <c r="W77" s="35"/>
      <c r="X77" s="35"/>
      <c r="Y77" s="35"/>
      <c r="Z77" s="35"/>
    </row>
    <row r="78" spans="1:26" ht="10.5" customHeight="1" x14ac:dyDescent="0.3">
      <c r="A78" s="35"/>
      <c r="B78" s="35"/>
      <c r="C78" s="35"/>
      <c r="D78" s="35"/>
      <c r="E78" s="35"/>
      <c r="F78" s="35"/>
      <c r="G78" s="35"/>
      <c r="H78" s="35"/>
      <c r="I78" s="35"/>
      <c r="J78" s="35"/>
      <c r="K78" s="35"/>
      <c r="L78" s="35"/>
      <c r="M78" s="35"/>
      <c r="N78" s="36"/>
      <c r="O78" s="35"/>
      <c r="P78" s="35"/>
      <c r="Q78" s="35"/>
      <c r="R78" s="35"/>
      <c r="S78" s="35"/>
      <c r="T78" s="35"/>
      <c r="U78" s="35"/>
      <c r="V78" s="35"/>
      <c r="W78" s="35"/>
      <c r="X78" s="35"/>
      <c r="Y78" s="35"/>
      <c r="Z78" s="35"/>
    </row>
    <row r="79" spans="1:26" ht="10.5" customHeight="1" x14ac:dyDescent="0.3">
      <c r="A79" s="35"/>
      <c r="B79" s="35"/>
      <c r="C79" s="35"/>
      <c r="D79" s="35"/>
      <c r="E79" s="35"/>
      <c r="F79" s="35"/>
      <c r="G79" s="35"/>
      <c r="H79" s="35"/>
      <c r="I79" s="35"/>
      <c r="J79" s="35"/>
      <c r="K79" s="35"/>
      <c r="L79" s="35"/>
      <c r="M79" s="35"/>
      <c r="N79" s="36"/>
      <c r="O79" s="35"/>
      <c r="P79" s="35"/>
      <c r="Q79" s="35"/>
      <c r="R79" s="35"/>
      <c r="S79" s="35"/>
      <c r="T79" s="35"/>
      <c r="U79" s="35"/>
      <c r="V79" s="35"/>
      <c r="W79" s="35"/>
      <c r="X79" s="35"/>
      <c r="Y79" s="35"/>
      <c r="Z79" s="35"/>
    </row>
    <row r="80" spans="1:26" ht="10.5" customHeight="1" x14ac:dyDescent="0.3">
      <c r="A80" s="35"/>
      <c r="B80" s="35"/>
      <c r="C80" s="35"/>
      <c r="D80" s="35"/>
      <c r="E80" s="35"/>
      <c r="F80" s="35"/>
      <c r="G80" s="35"/>
      <c r="H80" s="35"/>
      <c r="I80" s="35"/>
      <c r="J80" s="35"/>
      <c r="K80" s="35"/>
      <c r="L80" s="35"/>
      <c r="M80" s="35"/>
      <c r="N80" s="36"/>
      <c r="O80" s="35"/>
      <c r="P80" s="35"/>
      <c r="Q80" s="35"/>
      <c r="R80" s="35"/>
      <c r="S80" s="35"/>
      <c r="T80" s="35"/>
      <c r="U80" s="35"/>
      <c r="V80" s="35"/>
      <c r="W80" s="35"/>
      <c r="X80" s="35"/>
      <c r="Y80" s="35"/>
      <c r="Z80" s="35"/>
    </row>
    <row r="81" spans="1:26" ht="10.5" customHeight="1" x14ac:dyDescent="0.3">
      <c r="A81" s="35"/>
      <c r="B81" s="35"/>
      <c r="C81" s="35"/>
      <c r="D81" s="35"/>
      <c r="E81" s="35"/>
      <c r="F81" s="35"/>
      <c r="G81" s="35"/>
      <c r="H81" s="35"/>
      <c r="I81" s="35"/>
      <c r="J81" s="35"/>
      <c r="K81" s="35"/>
      <c r="L81" s="35"/>
      <c r="M81" s="35"/>
      <c r="N81" s="36"/>
      <c r="O81" s="35"/>
      <c r="P81" s="35"/>
      <c r="Q81" s="35"/>
      <c r="R81" s="35"/>
      <c r="S81" s="35"/>
      <c r="T81" s="35"/>
      <c r="U81" s="35"/>
      <c r="V81" s="35"/>
      <c r="W81" s="35"/>
      <c r="X81" s="35"/>
      <c r="Y81" s="35"/>
      <c r="Z81" s="35"/>
    </row>
    <row r="82" spans="1:26" ht="10.5" customHeight="1" x14ac:dyDescent="0.3">
      <c r="A82" s="35"/>
      <c r="B82" s="35"/>
      <c r="C82" s="35"/>
      <c r="D82" s="35"/>
      <c r="E82" s="35"/>
      <c r="F82" s="35"/>
      <c r="G82" s="35"/>
      <c r="H82" s="35"/>
      <c r="I82" s="35"/>
      <c r="J82" s="35"/>
      <c r="K82" s="35"/>
      <c r="L82" s="35"/>
      <c r="M82" s="35"/>
      <c r="N82" s="36"/>
      <c r="O82" s="35"/>
      <c r="P82" s="35"/>
      <c r="Q82" s="35"/>
      <c r="R82" s="35"/>
      <c r="S82" s="35"/>
      <c r="T82" s="35"/>
      <c r="U82" s="35"/>
      <c r="V82" s="35"/>
      <c r="W82" s="35"/>
      <c r="X82" s="35"/>
      <c r="Y82" s="35"/>
      <c r="Z82" s="35"/>
    </row>
    <row r="83" spans="1:26" ht="10.5" customHeight="1" x14ac:dyDescent="0.3">
      <c r="A83" s="35"/>
      <c r="B83" s="35"/>
      <c r="C83" s="35"/>
      <c r="D83" s="35"/>
      <c r="E83" s="35"/>
      <c r="F83" s="35"/>
      <c r="G83" s="35"/>
      <c r="H83" s="35"/>
      <c r="I83" s="35"/>
      <c r="J83" s="35"/>
      <c r="K83" s="35"/>
      <c r="L83" s="35"/>
      <c r="M83" s="35"/>
      <c r="N83" s="36"/>
      <c r="O83" s="35"/>
      <c r="P83" s="35"/>
      <c r="Q83" s="35"/>
      <c r="R83" s="35"/>
      <c r="S83" s="35"/>
      <c r="T83" s="35"/>
      <c r="U83" s="35"/>
      <c r="V83" s="35"/>
      <c r="W83" s="35"/>
      <c r="X83" s="35"/>
      <c r="Y83" s="35"/>
      <c r="Z83" s="35"/>
    </row>
    <row r="84" spans="1:26" ht="10.5" customHeight="1" x14ac:dyDescent="0.3">
      <c r="A84" s="35"/>
      <c r="B84" s="35"/>
      <c r="C84" s="35"/>
      <c r="D84" s="35"/>
      <c r="E84" s="35"/>
      <c r="F84" s="35"/>
      <c r="G84" s="35"/>
      <c r="H84" s="35"/>
      <c r="I84" s="35"/>
      <c r="J84" s="35"/>
      <c r="K84" s="35"/>
      <c r="L84" s="35"/>
      <c r="M84" s="35"/>
      <c r="N84" s="36"/>
      <c r="O84" s="35"/>
      <c r="P84" s="35"/>
      <c r="Q84" s="35"/>
      <c r="R84" s="35"/>
      <c r="S84" s="35"/>
      <c r="T84" s="35"/>
      <c r="U84" s="35"/>
      <c r="V84" s="35"/>
      <c r="W84" s="35"/>
      <c r="X84" s="35"/>
      <c r="Y84" s="35"/>
      <c r="Z84" s="35"/>
    </row>
    <row r="85" spans="1:26" ht="10.5" customHeight="1" x14ac:dyDescent="0.3">
      <c r="A85" s="35"/>
      <c r="B85" s="35"/>
      <c r="C85" s="35"/>
      <c r="D85" s="35"/>
      <c r="E85" s="35"/>
      <c r="F85" s="35"/>
      <c r="G85" s="35"/>
      <c r="H85" s="35"/>
      <c r="I85" s="35"/>
      <c r="J85" s="35"/>
      <c r="K85" s="35"/>
      <c r="L85" s="35"/>
      <c r="M85" s="35"/>
      <c r="N85" s="36"/>
      <c r="O85" s="35"/>
      <c r="P85" s="35"/>
      <c r="Q85" s="35"/>
      <c r="R85" s="35"/>
      <c r="S85" s="35"/>
      <c r="T85" s="35"/>
      <c r="U85" s="35"/>
      <c r="V85" s="35"/>
      <c r="W85" s="35"/>
      <c r="X85" s="35"/>
      <c r="Y85" s="35"/>
      <c r="Z85" s="35"/>
    </row>
    <row r="86" spans="1:26" ht="10.5" customHeight="1" x14ac:dyDescent="0.3">
      <c r="A86" s="35"/>
      <c r="B86" s="35"/>
      <c r="C86" s="35"/>
      <c r="D86" s="35"/>
      <c r="E86" s="35"/>
      <c r="F86" s="35"/>
      <c r="G86" s="35"/>
      <c r="H86" s="35"/>
      <c r="I86" s="35"/>
      <c r="J86" s="35"/>
      <c r="K86" s="35"/>
      <c r="L86" s="35"/>
      <c r="M86" s="35"/>
      <c r="N86" s="36"/>
      <c r="O86" s="35"/>
      <c r="P86" s="35"/>
      <c r="Q86" s="35"/>
      <c r="R86" s="35"/>
      <c r="S86" s="35"/>
      <c r="T86" s="35"/>
      <c r="U86" s="35"/>
      <c r="V86" s="35"/>
      <c r="W86" s="35"/>
      <c r="X86" s="35"/>
      <c r="Y86" s="35"/>
      <c r="Z86" s="35"/>
    </row>
    <row r="87" spans="1:26" ht="10.5" customHeight="1" x14ac:dyDescent="0.3">
      <c r="A87" s="35"/>
      <c r="B87" s="35"/>
      <c r="C87" s="35"/>
      <c r="D87" s="35"/>
      <c r="E87" s="35"/>
      <c r="F87" s="35"/>
      <c r="G87" s="35"/>
      <c r="H87" s="35"/>
      <c r="I87" s="35"/>
      <c r="J87" s="35"/>
      <c r="K87" s="35"/>
      <c r="L87" s="35"/>
      <c r="M87" s="35"/>
      <c r="N87" s="36"/>
      <c r="O87" s="35"/>
      <c r="P87" s="35"/>
      <c r="Q87" s="35"/>
      <c r="R87" s="35"/>
      <c r="S87" s="35"/>
      <c r="T87" s="35"/>
      <c r="U87" s="35"/>
      <c r="V87" s="35"/>
      <c r="W87" s="35"/>
      <c r="X87" s="35"/>
      <c r="Y87" s="35"/>
      <c r="Z87" s="35"/>
    </row>
    <row r="88" spans="1:26" ht="10.5" customHeight="1" x14ac:dyDescent="0.3">
      <c r="A88" s="35"/>
      <c r="B88" s="35"/>
      <c r="C88" s="35"/>
      <c r="D88" s="35"/>
      <c r="E88" s="35"/>
      <c r="F88" s="35"/>
      <c r="G88" s="35"/>
      <c r="H88" s="35"/>
      <c r="I88" s="35"/>
      <c r="J88" s="35"/>
      <c r="K88" s="35"/>
      <c r="L88" s="35"/>
      <c r="M88" s="35"/>
      <c r="N88" s="36"/>
      <c r="O88" s="35"/>
      <c r="P88" s="35"/>
      <c r="Q88" s="35"/>
      <c r="R88" s="35"/>
      <c r="S88" s="35"/>
      <c r="T88" s="35"/>
      <c r="U88" s="35"/>
      <c r="V88" s="35"/>
      <c r="W88" s="35"/>
      <c r="X88" s="35"/>
      <c r="Y88" s="35"/>
      <c r="Z88" s="35"/>
    </row>
    <row r="89" spans="1:26" ht="10.5" customHeight="1" x14ac:dyDescent="0.3">
      <c r="A89" s="35"/>
      <c r="B89" s="35"/>
      <c r="C89" s="35"/>
      <c r="D89" s="35"/>
      <c r="E89" s="35"/>
      <c r="F89" s="35"/>
      <c r="G89" s="35"/>
      <c r="H89" s="35"/>
      <c r="I89" s="35"/>
      <c r="J89" s="35"/>
      <c r="K89" s="35"/>
      <c r="L89" s="35"/>
      <c r="M89" s="35"/>
      <c r="N89" s="36"/>
      <c r="O89" s="35"/>
      <c r="P89" s="35"/>
      <c r="Q89" s="35"/>
      <c r="R89" s="35"/>
      <c r="S89" s="35"/>
      <c r="T89" s="35"/>
      <c r="U89" s="35"/>
      <c r="V89" s="35"/>
      <c r="W89" s="35"/>
      <c r="X89" s="35"/>
      <c r="Y89" s="35"/>
      <c r="Z89" s="35"/>
    </row>
    <row r="90" spans="1:26" ht="10.5" customHeight="1" x14ac:dyDescent="0.3">
      <c r="A90" s="35"/>
      <c r="B90" s="35"/>
      <c r="C90" s="35"/>
      <c r="D90" s="35"/>
      <c r="E90" s="35"/>
      <c r="F90" s="35"/>
      <c r="G90" s="35"/>
      <c r="H90" s="35"/>
      <c r="I90" s="35"/>
      <c r="J90" s="35"/>
      <c r="K90" s="35"/>
      <c r="L90" s="35"/>
      <c r="M90" s="35"/>
      <c r="N90" s="36"/>
      <c r="O90" s="35"/>
      <c r="P90" s="35"/>
      <c r="Q90" s="35"/>
      <c r="R90" s="35"/>
      <c r="S90" s="35"/>
      <c r="T90" s="35"/>
      <c r="U90" s="35"/>
      <c r="V90" s="35"/>
      <c r="W90" s="35"/>
      <c r="X90" s="35"/>
      <c r="Y90" s="35"/>
      <c r="Z90" s="35"/>
    </row>
    <row r="91" spans="1:26" ht="10.5" customHeight="1" x14ac:dyDescent="0.3">
      <c r="A91" s="35"/>
      <c r="B91" s="35"/>
      <c r="C91" s="35"/>
      <c r="D91" s="35"/>
      <c r="E91" s="35"/>
      <c r="F91" s="35"/>
      <c r="G91" s="35"/>
      <c r="H91" s="35"/>
      <c r="I91" s="35"/>
      <c r="J91" s="35"/>
      <c r="K91" s="35"/>
      <c r="L91" s="35"/>
      <c r="M91" s="35"/>
      <c r="N91" s="36"/>
      <c r="O91" s="35"/>
      <c r="P91" s="35"/>
      <c r="Q91" s="35"/>
      <c r="R91" s="35"/>
      <c r="S91" s="35"/>
      <c r="T91" s="35"/>
      <c r="U91" s="35"/>
      <c r="V91" s="35"/>
      <c r="W91" s="35"/>
      <c r="X91" s="35"/>
      <c r="Y91" s="35"/>
      <c r="Z91" s="35"/>
    </row>
    <row r="92" spans="1:26" ht="10.5" customHeight="1" x14ac:dyDescent="0.3">
      <c r="A92" s="35"/>
      <c r="B92" s="35"/>
      <c r="C92" s="35"/>
      <c r="D92" s="35"/>
      <c r="E92" s="35"/>
      <c r="F92" s="35"/>
      <c r="G92" s="35"/>
      <c r="H92" s="35"/>
      <c r="I92" s="35"/>
      <c r="J92" s="35"/>
      <c r="K92" s="35"/>
      <c r="L92" s="35"/>
      <c r="M92" s="35"/>
      <c r="N92" s="36"/>
      <c r="O92" s="35"/>
      <c r="P92" s="35"/>
      <c r="Q92" s="35"/>
      <c r="R92" s="35"/>
      <c r="S92" s="35"/>
      <c r="T92" s="35"/>
      <c r="U92" s="35"/>
      <c r="V92" s="35"/>
      <c r="W92" s="35"/>
      <c r="X92" s="35"/>
      <c r="Y92" s="35"/>
      <c r="Z92" s="35"/>
    </row>
    <row r="93" spans="1:26" ht="10.5" customHeight="1" x14ac:dyDescent="0.3">
      <c r="A93" s="35"/>
      <c r="B93" s="35"/>
      <c r="C93" s="35"/>
      <c r="D93" s="35"/>
      <c r="E93" s="35"/>
      <c r="F93" s="35"/>
      <c r="G93" s="35"/>
      <c r="H93" s="35"/>
      <c r="I93" s="35"/>
      <c r="J93" s="35"/>
      <c r="K93" s="35"/>
      <c r="L93" s="35"/>
      <c r="M93" s="35"/>
      <c r="N93" s="36"/>
      <c r="O93" s="35"/>
      <c r="P93" s="35"/>
      <c r="Q93" s="35"/>
      <c r="R93" s="35"/>
      <c r="S93" s="35"/>
      <c r="T93" s="35"/>
      <c r="U93" s="35"/>
      <c r="V93" s="35"/>
      <c r="W93" s="35"/>
      <c r="X93" s="35"/>
      <c r="Y93" s="35"/>
      <c r="Z93" s="35"/>
    </row>
    <row r="94" spans="1:26" ht="10.5" customHeight="1" x14ac:dyDescent="0.3">
      <c r="A94" s="35"/>
      <c r="B94" s="35"/>
      <c r="C94" s="35"/>
      <c r="D94" s="35"/>
      <c r="E94" s="35"/>
      <c r="F94" s="35"/>
      <c r="G94" s="35"/>
      <c r="H94" s="35"/>
      <c r="I94" s="35"/>
      <c r="J94" s="35"/>
      <c r="K94" s="35"/>
      <c r="L94" s="35"/>
      <c r="M94" s="35"/>
      <c r="N94" s="36"/>
      <c r="O94" s="35"/>
      <c r="P94" s="35"/>
      <c r="Q94" s="35"/>
      <c r="R94" s="35"/>
      <c r="S94" s="35"/>
      <c r="T94" s="35"/>
      <c r="U94" s="35"/>
      <c r="V94" s="35"/>
      <c r="W94" s="35"/>
      <c r="X94" s="35"/>
      <c r="Y94" s="35"/>
      <c r="Z94" s="35"/>
    </row>
    <row r="95" spans="1:26" ht="10.5" customHeight="1" x14ac:dyDescent="0.3">
      <c r="A95" s="35"/>
      <c r="B95" s="35"/>
      <c r="C95" s="35"/>
      <c r="D95" s="35"/>
      <c r="E95" s="35"/>
      <c r="F95" s="35"/>
      <c r="G95" s="35"/>
      <c r="H95" s="35"/>
      <c r="I95" s="35"/>
      <c r="J95" s="35"/>
      <c r="K95" s="35"/>
      <c r="L95" s="35"/>
      <c r="M95" s="35"/>
      <c r="N95" s="36"/>
      <c r="O95" s="35"/>
      <c r="P95" s="35"/>
      <c r="Q95" s="35"/>
      <c r="R95" s="35"/>
      <c r="S95" s="35"/>
      <c r="T95" s="35"/>
      <c r="U95" s="35"/>
      <c r="V95" s="35"/>
      <c r="W95" s="35"/>
      <c r="X95" s="35"/>
      <c r="Y95" s="35"/>
      <c r="Z95" s="35"/>
    </row>
    <row r="96" spans="1:26" ht="10.5" customHeight="1" x14ac:dyDescent="0.3">
      <c r="A96" s="35"/>
      <c r="B96" s="35"/>
      <c r="C96" s="35"/>
      <c r="D96" s="35"/>
      <c r="E96" s="35"/>
      <c r="F96" s="35"/>
      <c r="G96" s="35"/>
      <c r="H96" s="35"/>
      <c r="I96" s="35"/>
      <c r="J96" s="35"/>
      <c r="K96" s="35"/>
      <c r="L96" s="35"/>
      <c r="M96" s="35"/>
      <c r="N96" s="36"/>
      <c r="O96" s="35"/>
      <c r="P96" s="35"/>
      <c r="Q96" s="35"/>
      <c r="R96" s="35"/>
      <c r="S96" s="35"/>
      <c r="T96" s="35"/>
      <c r="U96" s="35"/>
      <c r="V96" s="35"/>
      <c r="W96" s="35"/>
      <c r="X96" s="35"/>
      <c r="Y96" s="35"/>
      <c r="Z96" s="35"/>
    </row>
    <row r="97" spans="1:26" ht="10.5" customHeight="1" x14ac:dyDescent="0.3">
      <c r="A97" s="35"/>
      <c r="B97" s="35"/>
      <c r="C97" s="35"/>
      <c r="D97" s="35"/>
      <c r="E97" s="35"/>
      <c r="F97" s="35"/>
      <c r="G97" s="35"/>
      <c r="H97" s="35"/>
      <c r="I97" s="35"/>
      <c r="J97" s="35"/>
      <c r="K97" s="35"/>
      <c r="L97" s="35"/>
      <c r="M97" s="35"/>
      <c r="N97" s="36"/>
      <c r="O97" s="35"/>
      <c r="P97" s="35"/>
      <c r="Q97" s="35"/>
      <c r="R97" s="35"/>
      <c r="S97" s="35"/>
      <c r="T97" s="35"/>
      <c r="U97" s="35"/>
      <c r="V97" s="35"/>
      <c r="W97" s="35"/>
      <c r="X97" s="35"/>
      <c r="Y97" s="35"/>
      <c r="Z97" s="35"/>
    </row>
    <row r="98" spans="1:26" ht="10.5" customHeight="1" x14ac:dyDescent="0.3">
      <c r="A98" s="35"/>
      <c r="B98" s="35"/>
      <c r="C98" s="35"/>
      <c r="D98" s="35"/>
      <c r="E98" s="35"/>
      <c r="F98" s="35"/>
      <c r="G98" s="35"/>
      <c r="H98" s="35"/>
      <c r="I98" s="35"/>
      <c r="J98" s="35"/>
      <c r="K98" s="35"/>
      <c r="L98" s="35"/>
      <c r="M98" s="35"/>
      <c r="N98" s="36"/>
      <c r="O98" s="35"/>
      <c r="P98" s="35"/>
      <c r="Q98" s="35"/>
      <c r="R98" s="35"/>
      <c r="S98" s="35"/>
      <c r="T98" s="35"/>
      <c r="U98" s="35"/>
      <c r="V98" s="35"/>
      <c r="W98" s="35"/>
      <c r="X98" s="35"/>
      <c r="Y98" s="35"/>
      <c r="Z98" s="35"/>
    </row>
    <row r="99" spans="1:26" ht="10.5" customHeight="1" x14ac:dyDescent="0.3">
      <c r="A99" s="35"/>
      <c r="B99" s="35"/>
      <c r="C99" s="35"/>
      <c r="D99" s="35"/>
      <c r="E99" s="35"/>
      <c r="F99" s="35"/>
      <c r="G99" s="35"/>
      <c r="H99" s="35"/>
      <c r="I99" s="35"/>
      <c r="J99" s="35"/>
      <c r="K99" s="35"/>
      <c r="L99" s="35"/>
      <c r="M99" s="35"/>
      <c r="N99" s="36"/>
      <c r="O99" s="35"/>
      <c r="P99" s="35"/>
      <c r="Q99" s="35"/>
      <c r="R99" s="35"/>
      <c r="S99" s="35"/>
      <c r="T99" s="35"/>
      <c r="U99" s="35"/>
      <c r="V99" s="35"/>
      <c r="W99" s="35"/>
      <c r="X99" s="35"/>
      <c r="Y99" s="35"/>
      <c r="Z99" s="35"/>
    </row>
    <row r="100" spans="1:26" ht="10.5" customHeight="1" x14ac:dyDescent="0.3">
      <c r="A100" s="35"/>
      <c r="B100" s="35"/>
      <c r="C100" s="35"/>
      <c r="D100" s="35"/>
      <c r="E100" s="35"/>
      <c r="F100" s="35"/>
      <c r="G100" s="35"/>
      <c r="H100" s="35"/>
      <c r="I100" s="35"/>
      <c r="J100" s="35"/>
      <c r="K100" s="35"/>
      <c r="L100" s="35"/>
      <c r="M100" s="35"/>
      <c r="N100" s="36"/>
      <c r="O100" s="35"/>
      <c r="P100" s="35"/>
      <c r="Q100" s="35"/>
      <c r="R100" s="35"/>
      <c r="S100" s="35"/>
      <c r="T100" s="35"/>
      <c r="U100" s="35"/>
      <c r="V100" s="35"/>
      <c r="W100" s="35"/>
      <c r="X100" s="35"/>
      <c r="Y100" s="35"/>
      <c r="Z100" s="35"/>
    </row>
    <row r="101" spans="1:26" ht="10.5" customHeight="1" x14ac:dyDescent="0.3">
      <c r="A101" s="35"/>
      <c r="B101" s="35"/>
      <c r="C101" s="35"/>
      <c r="D101" s="35"/>
      <c r="E101" s="35"/>
      <c r="F101" s="35"/>
      <c r="G101" s="35"/>
      <c r="H101" s="35"/>
      <c r="I101" s="35"/>
      <c r="J101" s="35"/>
      <c r="K101" s="35"/>
      <c r="L101" s="35"/>
      <c r="M101" s="35"/>
      <c r="N101" s="36"/>
      <c r="O101" s="35"/>
      <c r="P101" s="35"/>
      <c r="Q101" s="35"/>
      <c r="R101" s="35"/>
      <c r="S101" s="35"/>
      <c r="T101" s="35"/>
      <c r="U101" s="35"/>
      <c r="V101" s="35"/>
      <c r="W101" s="35"/>
      <c r="X101" s="35"/>
      <c r="Y101" s="35"/>
      <c r="Z101" s="35"/>
    </row>
    <row r="102" spans="1:26" ht="10.5" customHeight="1" x14ac:dyDescent="0.3">
      <c r="A102" s="35"/>
      <c r="B102" s="35"/>
      <c r="C102" s="35"/>
      <c r="D102" s="35"/>
      <c r="E102" s="35"/>
      <c r="F102" s="35"/>
      <c r="G102" s="35"/>
      <c r="H102" s="35"/>
      <c r="I102" s="35"/>
      <c r="J102" s="35"/>
      <c r="K102" s="35"/>
      <c r="L102" s="35"/>
      <c r="M102" s="35"/>
      <c r="N102" s="36"/>
      <c r="O102" s="35"/>
      <c r="P102" s="35"/>
      <c r="Q102" s="35"/>
      <c r="R102" s="35"/>
      <c r="S102" s="35"/>
      <c r="T102" s="35"/>
      <c r="U102" s="35"/>
      <c r="V102" s="35"/>
      <c r="W102" s="35"/>
      <c r="X102" s="35"/>
      <c r="Y102" s="35"/>
      <c r="Z102" s="35"/>
    </row>
    <row r="103" spans="1:26" ht="10.5" customHeight="1" x14ac:dyDescent="0.3">
      <c r="A103" s="35"/>
      <c r="B103" s="35"/>
      <c r="C103" s="35"/>
      <c r="D103" s="35"/>
      <c r="E103" s="35"/>
      <c r="F103" s="35"/>
      <c r="G103" s="35"/>
      <c r="H103" s="35"/>
      <c r="I103" s="35"/>
      <c r="J103" s="35"/>
      <c r="K103" s="35"/>
      <c r="L103" s="35"/>
      <c r="M103" s="35"/>
      <c r="N103" s="36"/>
      <c r="O103" s="35"/>
      <c r="P103" s="35"/>
      <c r="Q103" s="35"/>
      <c r="R103" s="35"/>
      <c r="S103" s="35"/>
      <c r="T103" s="35"/>
      <c r="U103" s="35"/>
      <c r="V103" s="35"/>
      <c r="W103" s="35"/>
      <c r="X103" s="35"/>
      <c r="Y103" s="35"/>
      <c r="Z103" s="35"/>
    </row>
    <row r="104" spans="1:26" ht="10.5" customHeight="1" x14ac:dyDescent="0.3">
      <c r="A104" s="35"/>
      <c r="B104" s="35"/>
      <c r="C104" s="35"/>
      <c r="D104" s="35"/>
      <c r="E104" s="35"/>
      <c r="F104" s="35"/>
      <c r="G104" s="35"/>
      <c r="H104" s="35"/>
      <c r="I104" s="35"/>
      <c r="J104" s="35"/>
      <c r="K104" s="35"/>
      <c r="L104" s="35"/>
      <c r="M104" s="35"/>
      <c r="N104" s="36"/>
      <c r="O104" s="35"/>
      <c r="P104" s="35"/>
      <c r="Q104" s="35"/>
      <c r="R104" s="35"/>
      <c r="S104" s="35"/>
      <c r="T104" s="35"/>
      <c r="U104" s="35"/>
      <c r="V104" s="35"/>
      <c r="W104" s="35"/>
      <c r="X104" s="35"/>
      <c r="Y104" s="35"/>
      <c r="Z104" s="35"/>
    </row>
    <row r="105" spans="1:26" ht="10.5" customHeight="1" x14ac:dyDescent="0.3">
      <c r="A105" s="35"/>
      <c r="B105" s="35"/>
      <c r="C105" s="35"/>
      <c r="D105" s="35"/>
      <c r="E105" s="35"/>
      <c r="F105" s="35"/>
      <c r="G105" s="35"/>
      <c r="H105" s="35"/>
      <c r="I105" s="35"/>
      <c r="J105" s="35"/>
      <c r="K105" s="35"/>
      <c r="L105" s="35"/>
      <c r="M105" s="35"/>
      <c r="N105" s="36"/>
      <c r="O105" s="35"/>
      <c r="P105" s="35"/>
      <c r="Q105" s="35"/>
      <c r="R105" s="35"/>
      <c r="S105" s="35"/>
      <c r="T105" s="35"/>
      <c r="U105" s="35"/>
      <c r="V105" s="35"/>
      <c r="W105" s="35"/>
      <c r="X105" s="35"/>
      <c r="Y105" s="35"/>
      <c r="Z105" s="35"/>
    </row>
    <row r="106" spans="1:26" ht="10.5" customHeight="1" x14ac:dyDescent="0.3">
      <c r="A106" s="35"/>
      <c r="B106" s="35"/>
      <c r="C106" s="35"/>
      <c r="D106" s="35"/>
      <c r="E106" s="35"/>
      <c r="F106" s="35"/>
      <c r="G106" s="35"/>
      <c r="H106" s="35"/>
      <c r="I106" s="35"/>
      <c r="J106" s="35"/>
      <c r="K106" s="35"/>
      <c r="L106" s="35"/>
      <c r="M106" s="35"/>
      <c r="N106" s="36"/>
      <c r="O106" s="35"/>
      <c r="P106" s="35"/>
      <c r="Q106" s="35"/>
      <c r="R106" s="35"/>
      <c r="S106" s="35"/>
      <c r="T106" s="35"/>
      <c r="U106" s="35"/>
      <c r="V106" s="35"/>
      <c r="W106" s="35"/>
      <c r="X106" s="35"/>
      <c r="Y106" s="35"/>
      <c r="Z106" s="35"/>
    </row>
    <row r="107" spans="1:26" ht="10.5" customHeight="1" x14ac:dyDescent="0.3">
      <c r="A107" s="35"/>
      <c r="B107" s="35"/>
      <c r="C107" s="35"/>
      <c r="D107" s="35"/>
      <c r="E107" s="35"/>
      <c r="F107" s="35"/>
      <c r="G107" s="35"/>
      <c r="H107" s="35"/>
      <c r="I107" s="35"/>
      <c r="J107" s="35"/>
      <c r="K107" s="35"/>
      <c r="L107" s="35"/>
      <c r="M107" s="35"/>
      <c r="N107" s="36"/>
      <c r="O107" s="35"/>
      <c r="P107" s="35"/>
      <c r="Q107" s="35"/>
      <c r="R107" s="35"/>
      <c r="S107" s="35"/>
      <c r="T107" s="35"/>
      <c r="U107" s="35"/>
      <c r="V107" s="35"/>
      <c r="W107" s="35"/>
      <c r="X107" s="35"/>
      <c r="Y107" s="35"/>
      <c r="Z107" s="35"/>
    </row>
    <row r="108" spans="1:26" ht="10.5" customHeight="1" x14ac:dyDescent="0.3">
      <c r="A108" s="35"/>
      <c r="B108" s="35"/>
      <c r="C108" s="35"/>
      <c r="D108" s="35"/>
      <c r="E108" s="35"/>
      <c r="F108" s="35"/>
      <c r="G108" s="35"/>
      <c r="H108" s="35"/>
      <c r="I108" s="35"/>
      <c r="J108" s="35"/>
      <c r="K108" s="35"/>
      <c r="L108" s="35"/>
      <c r="M108" s="35"/>
      <c r="N108" s="36"/>
      <c r="O108" s="35"/>
      <c r="P108" s="35"/>
      <c r="Q108" s="35"/>
      <c r="R108" s="35"/>
      <c r="S108" s="35"/>
      <c r="T108" s="35"/>
      <c r="U108" s="35"/>
      <c r="V108" s="35"/>
      <c r="W108" s="35"/>
      <c r="X108" s="35"/>
      <c r="Y108" s="35"/>
      <c r="Z108" s="35"/>
    </row>
    <row r="109" spans="1:26" ht="10.5" customHeight="1" x14ac:dyDescent="0.3">
      <c r="A109" s="35"/>
      <c r="B109" s="35"/>
      <c r="C109" s="35"/>
      <c r="D109" s="35"/>
      <c r="E109" s="35"/>
      <c r="F109" s="35"/>
      <c r="G109" s="35"/>
      <c r="H109" s="35"/>
      <c r="I109" s="35"/>
      <c r="J109" s="35"/>
      <c r="K109" s="35"/>
      <c r="L109" s="35"/>
      <c r="M109" s="35"/>
      <c r="N109" s="36"/>
      <c r="O109" s="35"/>
      <c r="P109" s="35"/>
      <c r="Q109" s="35"/>
      <c r="R109" s="35"/>
      <c r="S109" s="35"/>
      <c r="T109" s="35"/>
      <c r="U109" s="35"/>
      <c r="V109" s="35"/>
      <c r="W109" s="35"/>
      <c r="X109" s="35"/>
      <c r="Y109" s="35"/>
      <c r="Z109" s="35"/>
    </row>
    <row r="110" spans="1:26" ht="10.5" customHeight="1" x14ac:dyDescent="0.3">
      <c r="A110" s="35"/>
      <c r="B110" s="35"/>
      <c r="C110" s="35"/>
      <c r="D110" s="35"/>
      <c r="E110" s="35"/>
      <c r="F110" s="35"/>
      <c r="G110" s="35"/>
      <c r="H110" s="35"/>
      <c r="I110" s="35"/>
      <c r="J110" s="35"/>
      <c r="K110" s="35"/>
      <c r="L110" s="35"/>
      <c r="M110" s="35"/>
      <c r="N110" s="36"/>
      <c r="O110" s="35"/>
      <c r="P110" s="35"/>
      <c r="Q110" s="35"/>
      <c r="R110" s="35"/>
      <c r="S110" s="35"/>
      <c r="T110" s="35"/>
      <c r="U110" s="35"/>
      <c r="V110" s="35"/>
      <c r="W110" s="35"/>
      <c r="X110" s="35"/>
      <c r="Y110" s="35"/>
      <c r="Z110" s="35"/>
    </row>
    <row r="111" spans="1:26" ht="10.5" customHeight="1" x14ac:dyDescent="0.3">
      <c r="A111" s="35"/>
      <c r="B111" s="35"/>
      <c r="C111" s="35"/>
      <c r="D111" s="35"/>
      <c r="E111" s="35"/>
      <c r="F111" s="35"/>
      <c r="G111" s="35"/>
      <c r="H111" s="35"/>
      <c r="I111" s="35"/>
      <c r="J111" s="35"/>
      <c r="K111" s="35"/>
      <c r="L111" s="35"/>
      <c r="M111" s="35"/>
      <c r="N111" s="36"/>
      <c r="O111" s="35"/>
      <c r="P111" s="35"/>
      <c r="Q111" s="35"/>
      <c r="R111" s="35"/>
      <c r="S111" s="35"/>
      <c r="T111" s="35"/>
      <c r="U111" s="35"/>
      <c r="V111" s="35"/>
      <c r="W111" s="35"/>
      <c r="X111" s="35"/>
      <c r="Y111" s="35"/>
      <c r="Z111" s="35"/>
    </row>
    <row r="112" spans="1:26" ht="10.5" customHeight="1" x14ac:dyDescent="0.3">
      <c r="A112" s="35"/>
      <c r="B112" s="35"/>
      <c r="C112" s="35"/>
      <c r="D112" s="35"/>
      <c r="E112" s="35"/>
      <c r="F112" s="35"/>
      <c r="G112" s="35"/>
      <c r="H112" s="35"/>
      <c r="I112" s="35"/>
      <c r="J112" s="35"/>
      <c r="K112" s="35"/>
      <c r="L112" s="35"/>
      <c r="M112" s="35"/>
      <c r="N112" s="36"/>
      <c r="O112" s="35"/>
      <c r="P112" s="35"/>
      <c r="Q112" s="35"/>
      <c r="R112" s="35"/>
      <c r="S112" s="35"/>
      <c r="T112" s="35"/>
      <c r="U112" s="35"/>
      <c r="V112" s="35"/>
      <c r="W112" s="35"/>
      <c r="X112" s="35"/>
      <c r="Y112" s="35"/>
      <c r="Z112" s="35"/>
    </row>
    <row r="113" spans="1:26" ht="10.5" customHeight="1" x14ac:dyDescent="0.3">
      <c r="A113" s="35"/>
      <c r="B113" s="35"/>
      <c r="C113" s="35"/>
      <c r="D113" s="35"/>
      <c r="E113" s="35"/>
      <c r="F113" s="35"/>
      <c r="G113" s="35"/>
      <c r="H113" s="35"/>
      <c r="I113" s="35"/>
      <c r="J113" s="35"/>
      <c r="K113" s="35"/>
      <c r="L113" s="35"/>
      <c r="M113" s="35"/>
      <c r="N113" s="36"/>
      <c r="O113" s="35"/>
      <c r="P113" s="35"/>
      <c r="Q113" s="35"/>
      <c r="R113" s="35"/>
      <c r="S113" s="35"/>
      <c r="T113" s="35"/>
      <c r="U113" s="35"/>
      <c r="V113" s="35"/>
      <c r="W113" s="35"/>
      <c r="X113" s="35"/>
      <c r="Y113" s="35"/>
      <c r="Z113" s="35"/>
    </row>
    <row r="114" spans="1:26" ht="10.5" customHeight="1" x14ac:dyDescent="0.3">
      <c r="A114" s="35"/>
      <c r="B114" s="35"/>
      <c r="C114" s="35"/>
      <c r="D114" s="35"/>
      <c r="E114" s="35"/>
      <c r="F114" s="35"/>
      <c r="G114" s="35"/>
      <c r="H114" s="35"/>
      <c r="I114" s="35"/>
      <c r="J114" s="35"/>
      <c r="K114" s="35"/>
      <c r="L114" s="35"/>
      <c r="M114" s="35"/>
      <c r="N114" s="36"/>
      <c r="O114" s="35"/>
      <c r="P114" s="35"/>
      <c r="Q114" s="35"/>
      <c r="R114" s="35"/>
      <c r="S114" s="35"/>
      <c r="T114" s="35"/>
      <c r="U114" s="35"/>
      <c r="V114" s="35"/>
      <c r="W114" s="35"/>
      <c r="X114" s="35"/>
      <c r="Y114" s="35"/>
      <c r="Z114" s="35"/>
    </row>
    <row r="115" spans="1:26" ht="10.5" customHeight="1" x14ac:dyDescent="0.3">
      <c r="A115" s="35"/>
      <c r="B115" s="35"/>
      <c r="C115" s="35"/>
      <c r="D115" s="35"/>
      <c r="E115" s="35"/>
      <c r="F115" s="35"/>
      <c r="G115" s="35"/>
      <c r="H115" s="35"/>
      <c r="I115" s="35"/>
      <c r="J115" s="35"/>
      <c r="K115" s="35"/>
      <c r="L115" s="35"/>
      <c r="M115" s="35"/>
      <c r="N115" s="36"/>
      <c r="O115" s="35"/>
      <c r="P115" s="35"/>
      <c r="Q115" s="35"/>
      <c r="R115" s="35"/>
      <c r="S115" s="35"/>
      <c r="T115" s="35"/>
      <c r="U115" s="35"/>
      <c r="V115" s="35"/>
      <c r="W115" s="35"/>
      <c r="X115" s="35"/>
      <c r="Y115" s="35"/>
      <c r="Z115" s="35"/>
    </row>
    <row r="116" spans="1:26" ht="10.5" customHeight="1" x14ac:dyDescent="0.3">
      <c r="A116" s="35"/>
      <c r="B116" s="35"/>
      <c r="C116" s="35"/>
      <c r="D116" s="35"/>
      <c r="E116" s="35"/>
      <c r="F116" s="35"/>
      <c r="G116" s="35"/>
      <c r="H116" s="35"/>
      <c r="I116" s="35"/>
      <c r="J116" s="35"/>
      <c r="K116" s="35"/>
      <c r="L116" s="35"/>
      <c r="M116" s="35"/>
      <c r="N116" s="36"/>
      <c r="O116" s="35"/>
      <c r="P116" s="35"/>
      <c r="Q116" s="35"/>
      <c r="R116" s="35"/>
      <c r="S116" s="35"/>
      <c r="T116" s="35"/>
      <c r="U116" s="35"/>
      <c r="V116" s="35"/>
      <c r="W116" s="35"/>
      <c r="X116" s="35"/>
      <c r="Y116" s="35"/>
      <c r="Z116" s="35"/>
    </row>
    <row r="117" spans="1:26" ht="10.5" customHeight="1" x14ac:dyDescent="0.3">
      <c r="A117" s="35"/>
      <c r="B117" s="35"/>
      <c r="C117" s="35"/>
      <c r="D117" s="35"/>
      <c r="E117" s="35"/>
      <c r="F117" s="35"/>
      <c r="G117" s="35"/>
      <c r="H117" s="35"/>
      <c r="I117" s="35"/>
      <c r="J117" s="35"/>
      <c r="K117" s="35"/>
      <c r="L117" s="35"/>
      <c r="M117" s="35"/>
      <c r="N117" s="36"/>
      <c r="O117" s="35"/>
      <c r="P117" s="35"/>
      <c r="Q117" s="35"/>
      <c r="R117" s="35"/>
      <c r="S117" s="35"/>
      <c r="T117" s="35"/>
      <c r="U117" s="35"/>
      <c r="V117" s="35"/>
      <c r="W117" s="35"/>
      <c r="X117" s="35"/>
      <c r="Y117" s="35"/>
      <c r="Z117" s="35"/>
    </row>
    <row r="118" spans="1:26" ht="10.5" customHeight="1" x14ac:dyDescent="0.3">
      <c r="A118" s="35"/>
      <c r="B118" s="35"/>
      <c r="C118" s="35"/>
      <c r="D118" s="35"/>
      <c r="E118" s="35"/>
      <c r="F118" s="35"/>
      <c r="G118" s="35"/>
      <c r="H118" s="35"/>
      <c r="I118" s="35"/>
      <c r="J118" s="35"/>
      <c r="K118" s="35"/>
      <c r="L118" s="35"/>
      <c r="M118" s="35"/>
      <c r="N118" s="36"/>
      <c r="O118" s="35"/>
      <c r="P118" s="35"/>
      <c r="Q118" s="35"/>
      <c r="R118" s="35"/>
      <c r="S118" s="35"/>
      <c r="T118" s="35"/>
      <c r="U118" s="35"/>
      <c r="V118" s="35"/>
      <c r="W118" s="35"/>
      <c r="X118" s="35"/>
      <c r="Y118" s="35"/>
      <c r="Z118" s="35"/>
    </row>
    <row r="119" spans="1:26" ht="10.5" customHeight="1" x14ac:dyDescent="0.3">
      <c r="A119" s="35"/>
      <c r="B119" s="35"/>
      <c r="C119" s="35"/>
      <c r="D119" s="35"/>
      <c r="E119" s="35"/>
      <c r="F119" s="35"/>
      <c r="G119" s="35"/>
      <c r="H119" s="35"/>
      <c r="I119" s="35"/>
      <c r="J119" s="35"/>
      <c r="K119" s="35"/>
      <c r="L119" s="35"/>
      <c r="M119" s="35"/>
      <c r="N119" s="36"/>
      <c r="O119" s="35"/>
      <c r="P119" s="35"/>
      <c r="Q119" s="35"/>
      <c r="R119" s="35"/>
      <c r="S119" s="35"/>
      <c r="T119" s="35"/>
      <c r="U119" s="35"/>
      <c r="V119" s="35"/>
      <c r="W119" s="35"/>
      <c r="X119" s="35"/>
      <c r="Y119" s="35"/>
      <c r="Z119" s="35"/>
    </row>
    <row r="120" spans="1:26" ht="10.5" customHeight="1" x14ac:dyDescent="0.3">
      <c r="A120" s="35"/>
      <c r="B120" s="35"/>
      <c r="C120" s="35"/>
      <c r="D120" s="35"/>
      <c r="E120" s="35"/>
      <c r="F120" s="35"/>
      <c r="G120" s="35"/>
      <c r="H120" s="35"/>
      <c r="I120" s="35"/>
      <c r="J120" s="35"/>
      <c r="K120" s="35"/>
      <c r="L120" s="35"/>
      <c r="M120" s="35"/>
      <c r="N120" s="36"/>
      <c r="O120" s="35"/>
      <c r="P120" s="35"/>
      <c r="Q120" s="35"/>
      <c r="R120" s="35"/>
      <c r="S120" s="35"/>
      <c r="T120" s="35"/>
      <c r="U120" s="35"/>
      <c r="V120" s="35"/>
      <c r="W120" s="35"/>
      <c r="X120" s="35"/>
      <c r="Y120" s="35"/>
      <c r="Z120" s="35"/>
    </row>
    <row r="121" spans="1:26" ht="10.5" customHeight="1" x14ac:dyDescent="0.3">
      <c r="A121" s="35"/>
      <c r="B121" s="35"/>
      <c r="C121" s="35"/>
      <c r="D121" s="35"/>
      <c r="E121" s="35"/>
      <c r="F121" s="35"/>
      <c r="G121" s="35"/>
      <c r="H121" s="35"/>
      <c r="I121" s="35"/>
      <c r="J121" s="35"/>
      <c r="K121" s="35"/>
      <c r="L121" s="35"/>
      <c r="M121" s="35"/>
      <c r="N121" s="36"/>
      <c r="O121" s="35"/>
      <c r="P121" s="35"/>
      <c r="Q121" s="35"/>
      <c r="R121" s="35"/>
      <c r="S121" s="35"/>
      <c r="T121" s="35"/>
      <c r="U121" s="35"/>
      <c r="V121" s="35"/>
      <c r="W121" s="35"/>
      <c r="X121" s="35"/>
      <c r="Y121" s="35"/>
      <c r="Z121" s="35"/>
    </row>
    <row r="122" spans="1:26" ht="10.5" customHeight="1" x14ac:dyDescent="0.3">
      <c r="A122" s="35"/>
      <c r="B122" s="35"/>
      <c r="C122" s="35"/>
      <c r="D122" s="35"/>
      <c r="E122" s="35"/>
      <c r="F122" s="35"/>
      <c r="G122" s="35"/>
      <c r="H122" s="35"/>
      <c r="I122" s="35"/>
      <c r="J122" s="35"/>
      <c r="K122" s="35"/>
      <c r="L122" s="35"/>
      <c r="M122" s="35"/>
      <c r="N122" s="36"/>
      <c r="O122" s="35"/>
      <c r="P122" s="35"/>
      <c r="Q122" s="35"/>
      <c r="R122" s="35"/>
      <c r="S122" s="35"/>
      <c r="T122" s="35"/>
      <c r="U122" s="35"/>
      <c r="V122" s="35"/>
      <c r="W122" s="35"/>
      <c r="X122" s="35"/>
      <c r="Y122" s="35"/>
      <c r="Z122" s="35"/>
    </row>
    <row r="123" spans="1:26" ht="10.5" customHeight="1" x14ac:dyDescent="0.3">
      <c r="A123" s="35"/>
      <c r="B123" s="35"/>
      <c r="C123" s="35"/>
      <c r="D123" s="35"/>
      <c r="E123" s="35"/>
      <c r="F123" s="35"/>
      <c r="G123" s="35"/>
      <c r="H123" s="35"/>
      <c r="I123" s="35"/>
      <c r="J123" s="35"/>
      <c r="K123" s="35"/>
      <c r="L123" s="35"/>
      <c r="M123" s="35"/>
      <c r="N123" s="36"/>
      <c r="O123" s="35"/>
      <c r="P123" s="35"/>
      <c r="Q123" s="35"/>
      <c r="R123" s="35"/>
      <c r="S123" s="35"/>
      <c r="T123" s="35"/>
      <c r="U123" s="35"/>
      <c r="V123" s="35"/>
      <c r="W123" s="35"/>
      <c r="X123" s="35"/>
      <c r="Y123" s="35"/>
      <c r="Z123" s="35"/>
    </row>
    <row r="124" spans="1:26" ht="10.5" customHeight="1" x14ac:dyDescent="0.3">
      <c r="A124" s="35"/>
      <c r="B124" s="35"/>
      <c r="C124" s="35"/>
      <c r="D124" s="35"/>
      <c r="E124" s="35"/>
      <c r="F124" s="35"/>
      <c r="G124" s="35"/>
      <c r="H124" s="35"/>
      <c r="I124" s="35"/>
      <c r="J124" s="35"/>
      <c r="K124" s="35"/>
      <c r="L124" s="35"/>
      <c r="M124" s="35"/>
      <c r="N124" s="36"/>
      <c r="O124" s="35"/>
      <c r="P124" s="35"/>
      <c r="Q124" s="35"/>
      <c r="R124" s="35"/>
      <c r="S124" s="35"/>
      <c r="T124" s="35"/>
      <c r="U124" s="35"/>
      <c r="V124" s="35"/>
      <c r="W124" s="35"/>
      <c r="X124" s="35"/>
      <c r="Y124" s="35"/>
      <c r="Z124" s="35"/>
    </row>
    <row r="125" spans="1:26" ht="10.5" customHeight="1" x14ac:dyDescent="0.3">
      <c r="A125" s="35"/>
      <c r="B125" s="35"/>
      <c r="C125" s="35"/>
      <c r="D125" s="35"/>
      <c r="E125" s="35"/>
      <c r="F125" s="35"/>
      <c r="G125" s="35"/>
      <c r="H125" s="35"/>
      <c r="I125" s="35"/>
      <c r="J125" s="35"/>
      <c r="K125" s="35"/>
      <c r="L125" s="35"/>
      <c r="M125" s="35"/>
      <c r="N125" s="36"/>
      <c r="O125" s="35"/>
      <c r="P125" s="35"/>
      <c r="Q125" s="35"/>
      <c r="R125" s="35"/>
      <c r="S125" s="35"/>
      <c r="T125" s="35"/>
      <c r="U125" s="35"/>
      <c r="V125" s="35"/>
      <c r="W125" s="35"/>
      <c r="X125" s="35"/>
      <c r="Y125" s="35"/>
      <c r="Z125" s="35"/>
    </row>
    <row r="126" spans="1:26" ht="10.5" customHeight="1" x14ac:dyDescent="0.3">
      <c r="A126" s="35"/>
      <c r="B126" s="35"/>
      <c r="C126" s="35"/>
      <c r="D126" s="35"/>
      <c r="E126" s="35"/>
      <c r="F126" s="35"/>
      <c r="G126" s="35"/>
      <c r="H126" s="35"/>
      <c r="I126" s="35"/>
      <c r="J126" s="35"/>
      <c r="K126" s="35"/>
      <c r="L126" s="35"/>
      <c r="M126" s="35"/>
      <c r="N126" s="36"/>
      <c r="O126" s="35"/>
      <c r="P126" s="35"/>
      <c r="Q126" s="35"/>
      <c r="R126" s="35"/>
      <c r="S126" s="35"/>
      <c r="T126" s="35"/>
      <c r="U126" s="35"/>
      <c r="V126" s="35"/>
      <c r="W126" s="35"/>
      <c r="X126" s="35"/>
      <c r="Y126" s="35"/>
      <c r="Z126" s="35"/>
    </row>
    <row r="127" spans="1:26" ht="10.5" customHeight="1" x14ac:dyDescent="0.3">
      <c r="A127" s="35"/>
      <c r="B127" s="35"/>
      <c r="C127" s="35"/>
      <c r="D127" s="35"/>
      <c r="E127" s="35"/>
      <c r="F127" s="35"/>
      <c r="G127" s="35"/>
      <c r="H127" s="35"/>
      <c r="I127" s="35"/>
      <c r="J127" s="35"/>
      <c r="K127" s="35"/>
      <c r="L127" s="35"/>
      <c r="M127" s="35"/>
      <c r="N127" s="36"/>
      <c r="O127" s="35"/>
      <c r="P127" s="35"/>
      <c r="Q127" s="35"/>
      <c r="R127" s="35"/>
      <c r="S127" s="35"/>
      <c r="T127" s="35"/>
      <c r="U127" s="35"/>
      <c r="V127" s="35"/>
      <c r="W127" s="35"/>
      <c r="X127" s="35"/>
      <c r="Y127" s="35"/>
      <c r="Z127" s="35"/>
    </row>
    <row r="128" spans="1:26" ht="10.5" customHeight="1" x14ac:dyDescent="0.3">
      <c r="A128" s="35"/>
      <c r="B128" s="35"/>
      <c r="C128" s="35"/>
      <c r="D128" s="35"/>
      <c r="E128" s="35"/>
      <c r="F128" s="35"/>
      <c r="G128" s="35"/>
      <c r="H128" s="35"/>
      <c r="I128" s="35"/>
      <c r="J128" s="35"/>
      <c r="K128" s="35"/>
      <c r="L128" s="35"/>
      <c r="M128" s="35"/>
      <c r="N128" s="36"/>
      <c r="O128" s="35"/>
      <c r="P128" s="35"/>
      <c r="Q128" s="35"/>
      <c r="R128" s="35"/>
      <c r="S128" s="35"/>
      <c r="T128" s="35"/>
      <c r="U128" s="35"/>
      <c r="V128" s="35"/>
      <c r="W128" s="35"/>
      <c r="X128" s="35"/>
      <c r="Y128" s="35"/>
      <c r="Z128" s="35"/>
    </row>
    <row r="129" spans="1:26" ht="10.5" customHeight="1" x14ac:dyDescent="0.3">
      <c r="A129" s="35"/>
      <c r="B129" s="35"/>
      <c r="C129" s="35"/>
      <c r="D129" s="35"/>
      <c r="E129" s="35"/>
      <c r="F129" s="35"/>
      <c r="G129" s="35"/>
      <c r="H129" s="35"/>
      <c r="I129" s="35"/>
      <c r="J129" s="35"/>
      <c r="K129" s="35"/>
      <c r="L129" s="35"/>
      <c r="M129" s="35"/>
      <c r="N129" s="36"/>
      <c r="O129" s="35"/>
      <c r="P129" s="35"/>
      <c r="Q129" s="35"/>
      <c r="R129" s="35"/>
      <c r="S129" s="35"/>
      <c r="T129" s="35"/>
      <c r="U129" s="35"/>
      <c r="V129" s="35"/>
      <c r="W129" s="35"/>
      <c r="X129" s="35"/>
      <c r="Y129" s="35"/>
      <c r="Z129" s="35"/>
    </row>
    <row r="130" spans="1:26" ht="10.5" customHeight="1" x14ac:dyDescent="0.3">
      <c r="A130" s="35"/>
      <c r="B130" s="35"/>
      <c r="C130" s="35"/>
      <c r="D130" s="35"/>
      <c r="E130" s="35"/>
      <c r="F130" s="35"/>
      <c r="G130" s="35"/>
      <c r="H130" s="35"/>
      <c r="I130" s="35"/>
      <c r="J130" s="35"/>
      <c r="K130" s="35"/>
      <c r="L130" s="35"/>
      <c r="M130" s="35"/>
      <c r="N130" s="36"/>
      <c r="O130" s="35"/>
      <c r="P130" s="35"/>
      <c r="Q130" s="35"/>
      <c r="R130" s="35"/>
      <c r="S130" s="35"/>
      <c r="T130" s="35"/>
      <c r="U130" s="35"/>
      <c r="V130" s="35"/>
      <c r="W130" s="35"/>
      <c r="X130" s="35"/>
      <c r="Y130" s="35"/>
      <c r="Z130" s="35"/>
    </row>
    <row r="131" spans="1:26" ht="10.5" customHeight="1" x14ac:dyDescent="0.3">
      <c r="A131" s="35"/>
      <c r="B131" s="35"/>
      <c r="C131" s="35"/>
      <c r="D131" s="35"/>
      <c r="E131" s="35"/>
      <c r="F131" s="35"/>
      <c r="G131" s="35"/>
      <c r="H131" s="35"/>
      <c r="I131" s="35"/>
      <c r="J131" s="35"/>
      <c r="K131" s="35"/>
      <c r="L131" s="35"/>
      <c r="M131" s="35"/>
      <c r="N131" s="36"/>
      <c r="O131" s="35"/>
      <c r="P131" s="35"/>
      <c r="Q131" s="35"/>
      <c r="R131" s="35"/>
      <c r="S131" s="35"/>
      <c r="T131" s="35"/>
      <c r="U131" s="35"/>
      <c r="V131" s="35"/>
      <c r="W131" s="35"/>
      <c r="X131" s="35"/>
      <c r="Y131" s="35"/>
      <c r="Z131" s="35"/>
    </row>
    <row r="132" spans="1:26" ht="10.5" customHeight="1" x14ac:dyDescent="0.3">
      <c r="A132" s="35"/>
      <c r="B132" s="35"/>
      <c r="C132" s="35"/>
      <c r="D132" s="35"/>
      <c r="E132" s="35"/>
      <c r="F132" s="35"/>
      <c r="G132" s="35"/>
      <c r="H132" s="35"/>
      <c r="I132" s="35"/>
      <c r="J132" s="35"/>
      <c r="K132" s="35"/>
      <c r="L132" s="35"/>
      <c r="M132" s="35"/>
      <c r="N132" s="36"/>
      <c r="O132" s="35"/>
      <c r="P132" s="35"/>
      <c r="Q132" s="35"/>
      <c r="R132" s="35"/>
      <c r="S132" s="35"/>
      <c r="T132" s="35"/>
      <c r="U132" s="35"/>
      <c r="V132" s="35"/>
      <c r="W132" s="35"/>
      <c r="X132" s="35"/>
      <c r="Y132" s="35"/>
      <c r="Z132" s="35"/>
    </row>
    <row r="133" spans="1:26" ht="10.5" customHeight="1" x14ac:dyDescent="0.3">
      <c r="A133" s="35"/>
      <c r="B133" s="35"/>
      <c r="C133" s="35"/>
      <c r="D133" s="35"/>
      <c r="E133" s="35"/>
      <c r="F133" s="35"/>
      <c r="G133" s="35"/>
      <c r="H133" s="35"/>
      <c r="I133" s="35"/>
      <c r="J133" s="35"/>
      <c r="K133" s="35"/>
      <c r="L133" s="35"/>
      <c r="M133" s="35"/>
      <c r="N133" s="36"/>
      <c r="O133" s="35"/>
      <c r="P133" s="35"/>
      <c r="Q133" s="35"/>
      <c r="R133" s="35"/>
      <c r="S133" s="35"/>
      <c r="T133" s="35"/>
      <c r="U133" s="35"/>
      <c r="V133" s="35"/>
      <c r="W133" s="35"/>
      <c r="X133" s="35"/>
      <c r="Y133" s="35"/>
      <c r="Z133" s="35"/>
    </row>
    <row r="134" spans="1:26" ht="10.5" customHeight="1" x14ac:dyDescent="0.3">
      <c r="A134" s="35"/>
      <c r="B134" s="35"/>
      <c r="C134" s="35"/>
      <c r="D134" s="35"/>
      <c r="E134" s="35"/>
      <c r="F134" s="35"/>
      <c r="G134" s="35"/>
      <c r="H134" s="35"/>
      <c r="I134" s="35"/>
      <c r="J134" s="35"/>
      <c r="K134" s="35"/>
      <c r="L134" s="35"/>
      <c r="M134" s="35"/>
      <c r="N134" s="36"/>
      <c r="O134" s="35"/>
      <c r="P134" s="35"/>
      <c r="Q134" s="35"/>
      <c r="R134" s="35"/>
      <c r="S134" s="35"/>
      <c r="T134" s="35"/>
      <c r="U134" s="35"/>
      <c r="V134" s="35"/>
      <c r="W134" s="35"/>
      <c r="X134" s="35"/>
      <c r="Y134" s="35"/>
      <c r="Z134" s="35"/>
    </row>
    <row r="135" spans="1:26" ht="10.5" customHeight="1" x14ac:dyDescent="0.3">
      <c r="A135" s="35"/>
      <c r="B135" s="35"/>
      <c r="C135" s="35"/>
      <c r="D135" s="35"/>
      <c r="E135" s="35"/>
      <c r="F135" s="35"/>
      <c r="G135" s="35"/>
      <c r="H135" s="35"/>
      <c r="I135" s="35"/>
      <c r="J135" s="35"/>
      <c r="K135" s="35"/>
      <c r="L135" s="35"/>
      <c r="M135" s="35"/>
      <c r="N135" s="36"/>
      <c r="O135" s="35"/>
      <c r="P135" s="35"/>
      <c r="Q135" s="35"/>
      <c r="R135" s="35"/>
      <c r="S135" s="35"/>
      <c r="T135" s="35"/>
      <c r="U135" s="35"/>
      <c r="V135" s="35"/>
      <c r="W135" s="35"/>
      <c r="X135" s="35"/>
      <c r="Y135" s="35"/>
      <c r="Z135" s="35"/>
    </row>
    <row r="136" spans="1:26" ht="10.5" customHeight="1" x14ac:dyDescent="0.3">
      <c r="A136" s="35"/>
      <c r="B136" s="35"/>
      <c r="C136" s="35"/>
      <c r="D136" s="35"/>
      <c r="E136" s="35"/>
      <c r="F136" s="35"/>
      <c r="G136" s="35"/>
      <c r="H136" s="35"/>
      <c r="I136" s="35"/>
      <c r="J136" s="35"/>
      <c r="K136" s="35"/>
      <c r="L136" s="35"/>
      <c r="M136" s="35"/>
      <c r="N136" s="36"/>
      <c r="O136" s="35"/>
      <c r="P136" s="35"/>
      <c r="Q136" s="35"/>
      <c r="R136" s="35"/>
      <c r="S136" s="35"/>
      <c r="T136" s="35"/>
      <c r="U136" s="35"/>
      <c r="V136" s="35"/>
      <c r="W136" s="35"/>
      <c r="X136" s="35"/>
      <c r="Y136" s="35"/>
      <c r="Z136" s="35"/>
    </row>
    <row r="137" spans="1:26" ht="10.5" customHeight="1" x14ac:dyDescent="0.3">
      <c r="A137" s="35"/>
      <c r="B137" s="35"/>
      <c r="C137" s="35"/>
      <c r="D137" s="35"/>
      <c r="E137" s="35"/>
      <c r="F137" s="35"/>
      <c r="G137" s="35"/>
      <c r="H137" s="35"/>
      <c r="I137" s="35"/>
      <c r="J137" s="35"/>
      <c r="K137" s="35"/>
      <c r="L137" s="35"/>
      <c r="M137" s="35"/>
      <c r="N137" s="36"/>
      <c r="O137" s="35"/>
      <c r="P137" s="35"/>
      <c r="Q137" s="35"/>
      <c r="R137" s="35"/>
      <c r="S137" s="35"/>
      <c r="T137" s="35"/>
      <c r="U137" s="35"/>
      <c r="V137" s="35"/>
      <c r="W137" s="35"/>
      <c r="X137" s="35"/>
      <c r="Y137" s="35"/>
      <c r="Z137" s="35"/>
    </row>
    <row r="138" spans="1:26" ht="10.5" customHeight="1" x14ac:dyDescent="0.3">
      <c r="A138" s="35"/>
      <c r="B138" s="35"/>
      <c r="C138" s="35"/>
      <c r="D138" s="35"/>
      <c r="E138" s="35"/>
      <c r="F138" s="35"/>
      <c r="G138" s="35"/>
      <c r="H138" s="35"/>
      <c r="I138" s="35"/>
      <c r="J138" s="35"/>
      <c r="K138" s="35"/>
      <c r="L138" s="35"/>
      <c r="M138" s="35"/>
      <c r="N138" s="36"/>
      <c r="O138" s="35"/>
      <c r="P138" s="35"/>
      <c r="Q138" s="35"/>
      <c r="R138" s="35"/>
      <c r="S138" s="35"/>
      <c r="T138" s="35"/>
      <c r="U138" s="35"/>
      <c r="V138" s="35"/>
      <c r="W138" s="35"/>
      <c r="X138" s="35"/>
      <c r="Y138" s="35"/>
      <c r="Z138" s="35"/>
    </row>
    <row r="139" spans="1:26" ht="10.5" customHeight="1" x14ac:dyDescent="0.3">
      <c r="A139" s="35"/>
      <c r="B139" s="35"/>
      <c r="C139" s="35"/>
      <c r="D139" s="35"/>
      <c r="E139" s="35"/>
      <c r="F139" s="35"/>
      <c r="G139" s="35"/>
      <c r="H139" s="35"/>
      <c r="I139" s="35"/>
      <c r="J139" s="35"/>
      <c r="K139" s="35"/>
      <c r="L139" s="35"/>
      <c r="M139" s="35"/>
      <c r="N139" s="36"/>
      <c r="O139" s="35"/>
      <c r="P139" s="35"/>
      <c r="Q139" s="35"/>
      <c r="R139" s="35"/>
      <c r="S139" s="35"/>
      <c r="T139" s="35"/>
      <c r="U139" s="35"/>
      <c r="V139" s="35"/>
      <c r="W139" s="35"/>
      <c r="X139" s="35"/>
      <c r="Y139" s="35"/>
      <c r="Z139" s="35"/>
    </row>
    <row r="140" spans="1:26" ht="10.5" customHeight="1" x14ac:dyDescent="0.3">
      <c r="A140" s="35"/>
      <c r="B140" s="35"/>
      <c r="C140" s="35"/>
      <c r="D140" s="35"/>
      <c r="E140" s="35"/>
      <c r="F140" s="35"/>
      <c r="G140" s="35"/>
      <c r="H140" s="35"/>
      <c r="I140" s="35"/>
      <c r="J140" s="35"/>
      <c r="K140" s="35"/>
      <c r="L140" s="35"/>
      <c r="M140" s="35"/>
      <c r="N140" s="36"/>
      <c r="O140" s="35"/>
      <c r="P140" s="35"/>
      <c r="Q140" s="35"/>
      <c r="R140" s="35"/>
      <c r="S140" s="35"/>
      <c r="T140" s="35"/>
      <c r="U140" s="35"/>
      <c r="V140" s="35"/>
      <c r="W140" s="35"/>
      <c r="X140" s="35"/>
      <c r="Y140" s="35"/>
      <c r="Z140" s="35"/>
    </row>
    <row r="141" spans="1:26" ht="10.5" customHeight="1" x14ac:dyDescent="0.3">
      <c r="A141" s="35"/>
      <c r="B141" s="35"/>
      <c r="C141" s="35"/>
      <c r="D141" s="35"/>
      <c r="E141" s="35"/>
      <c r="F141" s="35"/>
      <c r="G141" s="35"/>
      <c r="H141" s="35"/>
      <c r="I141" s="35"/>
      <c r="J141" s="35"/>
      <c r="K141" s="35"/>
      <c r="L141" s="35"/>
      <c r="M141" s="35"/>
      <c r="N141" s="36"/>
      <c r="O141" s="35"/>
      <c r="P141" s="35"/>
      <c r="Q141" s="35"/>
      <c r="R141" s="35"/>
      <c r="S141" s="35"/>
      <c r="T141" s="35"/>
      <c r="U141" s="35"/>
      <c r="V141" s="35"/>
      <c r="W141" s="35"/>
      <c r="X141" s="35"/>
      <c r="Y141" s="35"/>
      <c r="Z141" s="35"/>
    </row>
    <row r="142" spans="1:26" ht="10.5" customHeight="1" x14ac:dyDescent="0.3">
      <c r="A142" s="35"/>
      <c r="B142" s="35"/>
      <c r="C142" s="35"/>
      <c r="D142" s="35"/>
      <c r="E142" s="35"/>
      <c r="F142" s="35"/>
      <c r="G142" s="35"/>
      <c r="H142" s="35"/>
      <c r="I142" s="35"/>
      <c r="J142" s="35"/>
      <c r="K142" s="35"/>
      <c r="L142" s="35"/>
      <c r="M142" s="35"/>
      <c r="N142" s="36"/>
      <c r="O142" s="35"/>
      <c r="P142" s="35"/>
      <c r="Q142" s="35"/>
      <c r="R142" s="35"/>
      <c r="S142" s="35"/>
      <c r="T142" s="35"/>
      <c r="U142" s="35"/>
      <c r="V142" s="35"/>
      <c r="W142" s="35"/>
      <c r="X142" s="35"/>
      <c r="Y142" s="35"/>
      <c r="Z142" s="35"/>
    </row>
    <row r="143" spans="1:26" ht="10.5" customHeight="1" x14ac:dyDescent="0.3">
      <c r="A143" s="35"/>
      <c r="B143" s="35"/>
      <c r="C143" s="35"/>
      <c r="D143" s="35"/>
      <c r="E143" s="35"/>
      <c r="F143" s="35"/>
      <c r="G143" s="35"/>
      <c r="H143" s="35"/>
      <c r="I143" s="35"/>
      <c r="J143" s="35"/>
      <c r="K143" s="35"/>
      <c r="L143" s="35"/>
      <c r="M143" s="35"/>
      <c r="N143" s="36"/>
      <c r="O143" s="35"/>
      <c r="P143" s="35"/>
      <c r="Q143" s="35"/>
      <c r="R143" s="35"/>
      <c r="S143" s="35"/>
      <c r="T143" s="35"/>
      <c r="U143" s="35"/>
      <c r="V143" s="35"/>
      <c r="W143" s="35"/>
      <c r="X143" s="35"/>
      <c r="Y143" s="35"/>
      <c r="Z143" s="35"/>
    </row>
    <row r="144" spans="1:26" ht="10.5" customHeight="1" x14ac:dyDescent="0.3">
      <c r="A144" s="35"/>
      <c r="B144" s="35"/>
      <c r="C144" s="35"/>
      <c r="D144" s="35"/>
      <c r="E144" s="35"/>
      <c r="F144" s="35"/>
      <c r="G144" s="35"/>
      <c r="H144" s="35"/>
      <c r="I144" s="35"/>
      <c r="J144" s="35"/>
      <c r="K144" s="35"/>
      <c r="L144" s="35"/>
      <c r="M144" s="35"/>
      <c r="N144" s="36"/>
      <c r="O144" s="35"/>
      <c r="P144" s="35"/>
      <c r="Q144" s="35"/>
      <c r="R144" s="35"/>
      <c r="S144" s="35"/>
      <c r="T144" s="35"/>
      <c r="U144" s="35"/>
      <c r="V144" s="35"/>
      <c r="W144" s="35"/>
      <c r="X144" s="35"/>
      <c r="Y144" s="35"/>
      <c r="Z144" s="35"/>
    </row>
    <row r="145" spans="1:26" ht="10.5" customHeight="1" x14ac:dyDescent="0.3">
      <c r="A145" s="35"/>
      <c r="B145" s="35"/>
      <c r="C145" s="35"/>
      <c r="D145" s="35"/>
      <c r="E145" s="35"/>
      <c r="F145" s="35"/>
      <c r="G145" s="35"/>
      <c r="H145" s="35"/>
      <c r="I145" s="35"/>
      <c r="J145" s="35"/>
      <c r="K145" s="35"/>
      <c r="L145" s="35"/>
      <c r="M145" s="35"/>
      <c r="N145" s="36"/>
      <c r="O145" s="35"/>
      <c r="P145" s="35"/>
      <c r="Q145" s="35"/>
      <c r="R145" s="35"/>
      <c r="S145" s="35"/>
      <c r="T145" s="35"/>
      <c r="U145" s="35"/>
      <c r="V145" s="35"/>
      <c r="W145" s="35"/>
      <c r="X145" s="35"/>
      <c r="Y145" s="35"/>
      <c r="Z145" s="35"/>
    </row>
    <row r="146" spans="1:26" ht="10.5" customHeight="1" x14ac:dyDescent="0.3">
      <c r="A146" s="35"/>
      <c r="B146" s="35"/>
      <c r="C146" s="35"/>
      <c r="D146" s="35"/>
      <c r="E146" s="35"/>
      <c r="F146" s="35"/>
      <c r="G146" s="35"/>
      <c r="H146" s="35"/>
      <c r="I146" s="35"/>
      <c r="J146" s="35"/>
      <c r="K146" s="35"/>
      <c r="L146" s="35"/>
      <c r="M146" s="35"/>
      <c r="N146" s="36"/>
      <c r="O146" s="35"/>
      <c r="P146" s="35"/>
      <c r="Q146" s="35"/>
      <c r="R146" s="35"/>
      <c r="S146" s="35"/>
      <c r="T146" s="35"/>
      <c r="U146" s="35"/>
      <c r="V146" s="35"/>
      <c r="W146" s="35"/>
      <c r="X146" s="35"/>
      <c r="Y146" s="35"/>
      <c r="Z146" s="35"/>
    </row>
    <row r="147" spans="1:26" ht="10.5" customHeight="1" x14ac:dyDescent="0.3">
      <c r="A147" s="35"/>
      <c r="B147" s="35"/>
      <c r="C147" s="35"/>
      <c r="D147" s="35"/>
      <c r="E147" s="35"/>
      <c r="F147" s="35"/>
      <c r="G147" s="35"/>
      <c r="H147" s="35"/>
      <c r="I147" s="35"/>
      <c r="J147" s="35"/>
      <c r="K147" s="35"/>
      <c r="L147" s="35"/>
      <c r="M147" s="35"/>
      <c r="N147" s="36"/>
      <c r="O147" s="35"/>
      <c r="P147" s="35"/>
      <c r="Q147" s="35"/>
      <c r="R147" s="35"/>
      <c r="S147" s="35"/>
      <c r="T147" s="35"/>
      <c r="U147" s="35"/>
      <c r="V147" s="35"/>
      <c r="W147" s="35"/>
      <c r="X147" s="35"/>
      <c r="Y147" s="35"/>
      <c r="Z147" s="35"/>
    </row>
    <row r="148" spans="1:26" ht="10.5" customHeight="1" x14ac:dyDescent="0.3">
      <c r="A148" s="35"/>
      <c r="B148" s="35"/>
      <c r="C148" s="35"/>
      <c r="D148" s="35"/>
      <c r="E148" s="35"/>
      <c r="F148" s="35"/>
      <c r="G148" s="35"/>
      <c r="H148" s="35"/>
      <c r="I148" s="35"/>
      <c r="J148" s="35"/>
      <c r="K148" s="35"/>
      <c r="L148" s="35"/>
      <c r="M148" s="35"/>
      <c r="N148" s="36"/>
      <c r="O148" s="35"/>
      <c r="P148" s="35"/>
      <c r="Q148" s="35"/>
      <c r="R148" s="35"/>
      <c r="S148" s="35"/>
      <c r="T148" s="35"/>
      <c r="U148" s="35"/>
      <c r="V148" s="35"/>
      <c r="W148" s="35"/>
      <c r="X148" s="35"/>
      <c r="Y148" s="35"/>
      <c r="Z148" s="35"/>
    </row>
    <row r="149" spans="1:26" ht="10.5" customHeight="1" x14ac:dyDescent="0.3">
      <c r="A149" s="35"/>
      <c r="B149" s="35"/>
      <c r="C149" s="35"/>
      <c r="D149" s="35"/>
      <c r="E149" s="35"/>
      <c r="F149" s="35"/>
      <c r="G149" s="35"/>
      <c r="H149" s="35"/>
      <c r="I149" s="35"/>
      <c r="J149" s="35"/>
      <c r="K149" s="35"/>
      <c r="L149" s="35"/>
      <c r="M149" s="35"/>
      <c r="N149" s="36"/>
      <c r="O149" s="35"/>
      <c r="P149" s="35"/>
      <c r="Q149" s="35"/>
      <c r="R149" s="35"/>
      <c r="S149" s="35"/>
      <c r="T149" s="35"/>
      <c r="U149" s="35"/>
      <c r="V149" s="35"/>
      <c r="W149" s="35"/>
      <c r="X149" s="35"/>
      <c r="Y149" s="35"/>
      <c r="Z149" s="35"/>
    </row>
    <row r="150" spans="1:26" ht="10.5" customHeight="1" x14ac:dyDescent="0.3">
      <c r="A150" s="35"/>
      <c r="B150" s="35"/>
      <c r="C150" s="35"/>
      <c r="D150" s="35"/>
      <c r="E150" s="35"/>
      <c r="F150" s="35"/>
      <c r="G150" s="35"/>
      <c r="H150" s="35"/>
      <c r="I150" s="35"/>
      <c r="J150" s="35"/>
      <c r="K150" s="35"/>
      <c r="L150" s="35"/>
      <c r="M150" s="35"/>
      <c r="N150" s="36"/>
      <c r="O150" s="35"/>
      <c r="P150" s="35"/>
      <c r="Q150" s="35"/>
      <c r="R150" s="35"/>
      <c r="S150" s="35"/>
      <c r="T150" s="35"/>
      <c r="U150" s="35"/>
      <c r="V150" s="35"/>
      <c r="W150" s="35"/>
      <c r="X150" s="35"/>
      <c r="Y150" s="35"/>
      <c r="Z150" s="35"/>
    </row>
    <row r="151" spans="1:26" ht="10.5" customHeight="1" x14ac:dyDescent="0.3">
      <c r="A151" s="35"/>
      <c r="B151" s="35"/>
      <c r="C151" s="35"/>
      <c r="D151" s="35"/>
      <c r="E151" s="35"/>
      <c r="F151" s="35"/>
      <c r="G151" s="35"/>
      <c r="H151" s="35"/>
      <c r="I151" s="35"/>
      <c r="J151" s="35"/>
      <c r="K151" s="35"/>
      <c r="L151" s="35"/>
      <c r="M151" s="35"/>
      <c r="N151" s="36"/>
      <c r="O151" s="35"/>
      <c r="P151" s="35"/>
      <c r="Q151" s="35"/>
      <c r="R151" s="35"/>
      <c r="S151" s="35"/>
      <c r="T151" s="35"/>
      <c r="U151" s="35"/>
      <c r="V151" s="35"/>
      <c r="W151" s="35"/>
      <c r="X151" s="35"/>
      <c r="Y151" s="35"/>
      <c r="Z151" s="35"/>
    </row>
    <row r="152" spans="1:26" ht="10.5" customHeight="1" x14ac:dyDescent="0.3">
      <c r="A152" s="35"/>
      <c r="B152" s="35"/>
      <c r="C152" s="35"/>
      <c r="D152" s="35"/>
      <c r="E152" s="35"/>
      <c r="F152" s="35"/>
      <c r="G152" s="35"/>
      <c r="H152" s="35"/>
      <c r="I152" s="35"/>
      <c r="J152" s="35"/>
      <c r="K152" s="35"/>
      <c r="L152" s="35"/>
      <c r="M152" s="35"/>
      <c r="N152" s="36"/>
      <c r="O152" s="35"/>
      <c r="P152" s="35"/>
      <c r="Q152" s="35"/>
      <c r="R152" s="35"/>
      <c r="S152" s="35"/>
      <c r="T152" s="35"/>
      <c r="U152" s="35"/>
      <c r="V152" s="35"/>
      <c r="W152" s="35"/>
      <c r="X152" s="35"/>
      <c r="Y152" s="35"/>
      <c r="Z152" s="35"/>
    </row>
    <row r="153" spans="1:26" ht="10.5" customHeight="1" x14ac:dyDescent="0.3">
      <c r="A153" s="35"/>
      <c r="B153" s="35"/>
      <c r="C153" s="35"/>
      <c r="D153" s="35"/>
      <c r="E153" s="35"/>
      <c r="F153" s="35"/>
      <c r="G153" s="35"/>
      <c r="H153" s="35"/>
      <c r="I153" s="35"/>
      <c r="J153" s="35"/>
      <c r="K153" s="35"/>
      <c r="L153" s="35"/>
      <c r="M153" s="35"/>
      <c r="N153" s="36"/>
      <c r="O153" s="35"/>
      <c r="P153" s="35"/>
      <c r="Q153" s="35"/>
      <c r="R153" s="35"/>
      <c r="S153" s="35"/>
      <c r="T153" s="35"/>
      <c r="U153" s="35"/>
      <c r="V153" s="35"/>
      <c r="W153" s="35"/>
      <c r="X153" s="35"/>
      <c r="Y153" s="35"/>
      <c r="Z153" s="35"/>
    </row>
    <row r="154" spans="1:26" ht="10.5" customHeight="1" x14ac:dyDescent="0.3">
      <c r="A154" s="35"/>
      <c r="B154" s="35"/>
      <c r="C154" s="35"/>
      <c r="D154" s="35"/>
      <c r="E154" s="35"/>
      <c r="F154" s="35"/>
      <c r="G154" s="35"/>
      <c r="H154" s="35"/>
      <c r="I154" s="35"/>
      <c r="J154" s="35"/>
      <c r="K154" s="35"/>
      <c r="L154" s="35"/>
      <c r="M154" s="35"/>
      <c r="N154" s="36"/>
      <c r="O154" s="35"/>
      <c r="P154" s="35"/>
      <c r="Q154" s="35"/>
      <c r="R154" s="35"/>
      <c r="S154" s="35"/>
      <c r="T154" s="35"/>
      <c r="U154" s="35"/>
      <c r="V154" s="35"/>
      <c r="W154" s="35"/>
      <c r="X154" s="35"/>
      <c r="Y154" s="35"/>
      <c r="Z154" s="35"/>
    </row>
    <row r="155" spans="1:26" ht="10.5" customHeight="1" x14ac:dyDescent="0.3">
      <c r="A155" s="35"/>
      <c r="B155" s="35"/>
      <c r="C155" s="35"/>
      <c r="D155" s="35"/>
      <c r="E155" s="35"/>
      <c r="F155" s="35"/>
      <c r="G155" s="35"/>
      <c r="H155" s="35"/>
      <c r="I155" s="35"/>
      <c r="J155" s="35"/>
      <c r="K155" s="35"/>
      <c r="L155" s="35"/>
      <c r="M155" s="35"/>
      <c r="N155" s="36"/>
      <c r="O155" s="35"/>
      <c r="P155" s="35"/>
      <c r="Q155" s="35"/>
      <c r="R155" s="35"/>
      <c r="S155" s="35"/>
      <c r="T155" s="35"/>
      <c r="U155" s="35"/>
      <c r="V155" s="35"/>
      <c r="W155" s="35"/>
      <c r="X155" s="35"/>
      <c r="Y155" s="35"/>
      <c r="Z155" s="35"/>
    </row>
    <row r="156" spans="1:26" ht="10.5" customHeight="1" x14ac:dyDescent="0.3">
      <c r="A156" s="35"/>
      <c r="B156" s="35"/>
      <c r="C156" s="35"/>
      <c r="D156" s="35"/>
      <c r="E156" s="35"/>
      <c r="F156" s="35"/>
      <c r="G156" s="35"/>
      <c r="H156" s="35"/>
      <c r="I156" s="35"/>
      <c r="J156" s="35"/>
      <c r="K156" s="35"/>
      <c r="L156" s="35"/>
      <c r="M156" s="35"/>
      <c r="N156" s="36"/>
      <c r="O156" s="35"/>
      <c r="P156" s="35"/>
      <c r="Q156" s="35"/>
      <c r="R156" s="35"/>
      <c r="S156" s="35"/>
      <c r="T156" s="35"/>
      <c r="U156" s="35"/>
      <c r="V156" s="35"/>
      <c r="W156" s="35"/>
      <c r="X156" s="35"/>
      <c r="Y156" s="35"/>
      <c r="Z156" s="35"/>
    </row>
    <row r="157" spans="1:26" ht="10.5" customHeight="1" x14ac:dyDescent="0.3">
      <c r="A157" s="35"/>
      <c r="B157" s="35"/>
      <c r="C157" s="35"/>
      <c r="D157" s="35"/>
      <c r="E157" s="35"/>
      <c r="F157" s="35"/>
      <c r="G157" s="35"/>
      <c r="H157" s="35"/>
      <c r="I157" s="35"/>
      <c r="J157" s="35"/>
      <c r="K157" s="35"/>
      <c r="L157" s="35"/>
      <c r="M157" s="35"/>
      <c r="N157" s="36"/>
      <c r="O157" s="35"/>
      <c r="P157" s="35"/>
      <c r="Q157" s="35"/>
      <c r="R157" s="35"/>
      <c r="S157" s="35"/>
      <c r="T157" s="35"/>
      <c r="U157" s="35"/>
      <c r="V157" s="35"/>
      <c r="W157" s="35"/>
      <c r="X157" s="35"/>
      <c r="Y157" s="35"/>
      <c r="Z157" s="35"/>
    </row>
    <row r="158" spans="1:26" ht="10.5" customHeight="1" x14ac:dyDescent="0.3">
      <c r="A158" s="35"/>
      <c r="B158" s="35"/>
      <c r="C158" s="35"/>
      <c r="D158" s="35"/>
      <c r="E158" s="35"/>
      <c r="F158" s="35"/>
      <c r="G158" s="35"/>
      <c r="H158" s="35"/>
      <c r="I158" s="35"/>
      <c r="J158" s="35"/>
      <c r="K158" s="35"/>
      <c r="L158" s="35"/>
      <c r="M158" s="35"/>
      <c r="N158" s="36"/>
      <c r="O158" s="35"/>
      <c r="P158" s="35"/>
      <c r="Q158" s="35"/>
      <c r="R158" s="35"/>
      <c r="S158" s="35"/>
      <c r="T158" s="35"/>
      <c r="U158" s="35"/>
      <c r="V158" s="35"/>
      <c r="W158" s="35"/>
      <c r="X158" s="35"/>
      <c r="Y158" s="35"/>
      <c r="Z158" s="35"/>
    </row>
    <row r="159" spans="1:26" ht="10.5" customHeight="1" x14ac:dyDescent="0.3">
      <c r="A159" s="35"/>
      <c r="B159" s="35"/>
      <c r="C159" s="35"/>
      <c r="D159" s="35"/>
      <c r="E159" s="35"/>
      <c r="F159" s="35"/>
      <c r="G159" s="35"/>
      <c r="H159" s="35"/>
      <c r="I159" s="35"/>
      <c r="J159" s="35"/>
      <c r="K159" s="35"/>
      <c r="L159" s="35"/>
      <c r="M159" s="35"/>
      <c r="N159" s="36"/>
      <c r="O159" s="35"/>
      <c r="P159" s="35"/>
      <c r="Q159" s="35"/>
      <c r="R159" s="35"/>
      <c r="S159" s="35"/>
      <c r="T159" s="35"/>
      <c r="U159" s="35"/>
      <c r="V159" s="35"/>
      <c r="W159" s="35"/>
      <c r="X159" s="35"/>
      <c r="Y159" s="35"/>
      <c r="Z159" s="35"/>
    </row>
    <row r="160" spans="1:26" ht="10.5" customHeight="1" x14ac:dyDescent="0.3">
      <c r="A160" s="35"/>
      <c r="B160" s="35"/>
      <c r="C160" s="35"/>
      <c r="D160" s="35"/>
      <c r="E160" s="35"/>
      <c r="F160" s="35"/>
      <c r="G160" s="35"/>
      <c r="H160" s="35"/>
      <c r="I160" s="35"/>
      <c r="J160" s="35"/>
      <c r="K160" s="35"/>
      <c r="L160" s="35"/>
      <c r="M160" s="35"/>
      <c r="N160" s="36"/>
      <c r="O160" s="35"/>
      <c r="P160" s="35"/>
      <c r="Q160" s="35"/>
      <c r="R160" s="35"/>
      <c r="S160" s="35"/>
      <c r="T160" s="35"/>
      <c r="U160" s="35"/>
      <c r="V160" s="35"/>
      <c r="W160" s="35"/>
      <c r="X160" s="35"/>
      <c r="Y160" s="35"/>
      <c r="Z160" s="35"/>
    </row>
    <row r="161" spans="1:26" ht="10.5" customHeight="1" x14ac:dyDescent="0.3">
      <c r="A161" s="35"/>
      <c r="B161" s="35"/>
      <c r="C161" s="35"/>
      <c r="D161" s="35"/>
      <c r="E161" s="35"/>
      <c r="F161" s="35"/>
      <c r="G161" s="35"/>
      <c r="H161" s="35"/>
      <c r="I161" s="35"/>
      <c r="J161" s="35"/>
      <c r="K161" s="35"/>
      <c r="L161" s="35"/>
      <c r="M161" s="35"/>
      <c r="N161" s="36"/>
      <c r="O161" s="35"/>
      <c r="P161" s="35"/>
      <c r="Q161" s="35"/>
      <c r="R161" s="35"/>
      <c r="S161" s="35"/>
      <c r="T161" s="35"/>
      <c r="U161" s="35"/>
      <c r="V161" s="35"/>
      <c r="W161" s="35"/>
      <c r="X161" s="35"/>
      <c r="Y161" s="35"/>
      <c r="Z161" s="35"/>
    </row>
    <row r="162" spans="1:26" ht="10.5" customHeight="1" x14ac:dyDescent="0.3">
      <c r="A162" s="35"/>
      <c r="B162" s="35"/>
      <c r="C162" s="35"/>
      <c r="D162" s="35"/>
      <c r="E162" s="35"/>
      <c r="F162" s="35"/>
      <c r="G162" s="35"/>
      <c r="H162" s="35"/>
      <c r="I162" s="35"/>
      <c r="J162" s="35"/>
      <c r="K162" s="35"/>
      <c r="L162" s="35"/>
      <c r="M162" s="35"/>
      <c r="N162" s="36"/>
      <c r="O162" s="35"/>
      <c r="P162" s="35"/>
      <c r="Q162" s="35"/>
      <c r="R162" s="35"/>
      <c r="S162" s="35"/>
      <c r="T162" s="35"/>
      <c r="U162" s="35"/>
      <c r="V162" s="35"/>
      <c r="W162" s="35"/>
      <c r="X162" s="35"/>
      <c r="Y162" s="35"/>
      <c r="Z162" s="35"/>
    </row>
    <row r="163" spans="1:26" ht="10.5" customHeight="1" x14ac:dyDescent="0.3">
      <c r="A163" s="35"/>
      <c r="B163" s="35"/>
      <c r="C163" s="35"/>
      <c r="D163" s="35"/>
      <c r="E163" s="35"/>
      <c r="F163" s="35"/>
      <c r="G163" s="35"/>
      <c r="H163" s="35"/>
      <c r="I163" s="35"/>
      <c r="J163" s="35"/>
      <c r="K163" s="35"/>
      <c r="L163" s="35"/>
      <c r="M163" s="35"/>
      <c r="N163" s="36"/>
      <c r="O163" s="35"/>
      <c r="P163" s="35"/>
      <c r="Q163" s="35"/>
      <c r="R163" s="35"/>
      <c r="S163" s="35"/>
      <c r="T163" s="35"/>
      <c r="U163" s="35"/>
      <c r="V163" s="35"/>
      <c r="W163" s="35"/>
      <c r="X163" s="35"/>
      <c r="Y163" s="35"/>
      <c r="Z163" s="35"/>
    </row>
    <row r="164" spans="1:26" ht="10.5" customHeight="1" x14ac:dyDescent="0.3">
      <c r="A164" s="35"/>
      <c r="B164" s="35"/>
      <c r="C164" s="35"/>
      <c r="D164" s="35"/>
      <c r="E164" s="35"/>
      <c r="F164" s="35"/>
      <c r="G164" s="35"/>
      <c r="H164" s="35"/>
      <c r="I164" s="35"/>
      <c r="J164" s="35"/>
      <c r="K164" s="35"/>
      <c r="L164" s="35"/>
      <c r="M164" s="35"/>
      <c r="N164" s="36"/>
      <c r="O164" s="35"/>
      <c r="P164" s="35"/>
      <c r="Q164" s="35"/>
      <c r="R164" s="35"/>
      <c r="S164" s="35"/>
      <c r="T164" s="35"/>
      <c r="U164" s="35"/>
      <c r="V164" s="35"/>
      <c r="W164" s="35"/>
      <c r="X164" s="35"/>
      <c r="Y164" s="35"/>
      <c r="Z164" s="35"/>
    </row>
    <row r="165" spans="1:26" ht="10.5" customHeight="1" x14ac:dyDescent="0.3">
      <c r="A165" s="35"/>
      <c r="B165" s="35"/>
      <c r="C165" s="35"/>
      <c r="D165" s="35"/>
      <c r="E165" s="35"/>
      <c r="F165" s="35"/>
      <c r="G165" s="35"/>
      <c r="H165" s="35"/>
      <c r="I165" s="35"/>
      <c r="J165" s="35"/>
      <c r="K165" s="35"/>
      <c r="L165" s="35"/>
      <c r="M165" s="35"/>
      <c r="N165" s="36"/>
      <c r="O165" s="35"/>
      <c r="P165" s="35"/>
      <c r="Q165" s="35"/>
      <c r="R165" s="35"/>
      <c r="S165" s="35"/>
      <c r="T165" s="35"/>
      <c r="U165" s="35"/>
      <c r="V165" s="35"/>
      <c r="W165" s="35"/>
      <c r="X165" s="35"/>
      <c r="Y165" s="35"/>
      <c r="Z165" s="35"/>
    </row>
    <row r="166" spans="1:26" ht="10.5" customHeight="1" x14ac:dyDescent="0.3">
      <c r="A166" s="35"/>
      <c r="B166" s="35"/>
      <c r="C166" s="35"/>
      <c r="D166" s="35"/>
      <c r="E166" s="35"/>
      <c r="F166" s="35"/>
      <c r="G166" s="35"/>
      <c r="H166" s="35"/>
      <c r="I166" s="35"/>
      <c r="J166" s="35"/>
      <c r="K166" s="35"/>
      <c r="L166" s="35"/>
      <c r="M166" s="35"/>
      <c r="N166" s="36"/>
      <c r="O166" s="35"/>
      <c r="P166" s="35"/>
      <c r="Q166" s="35"/>
      <c r="R166" s="35"/>
      <c r="S166" s="35"/>
      <c r="T166" s="35"/>
      <c r="U166" s="35"/>
      <c r="V166" s="35"/>
      <c r="W166" s="35"/>
      <c r="X166" s="35"/>
      <c r="Y166" s="35"/>
      <c r="Z166" s="35"/>
    </row>
    <row r="167" spans="1:26" ht="10.5" customHeight="1" x14ac:dyDescent="0.3">
      <c r="A167" s="35"/>
      <c r="B167" s="35"/>
      <c r="C167" s="35"/>
      <c r="D167" s="35"/>
      <c r="E167" s="35"/>
      <c r="F167" s="35"/>
      <c r="G167" s="35"/>
      <c r="H167" s="35"/>
      <c r="I167" s="35"/>
      <c r="J167" s="35"/>
      <c r="K167" s="35"/>
      <c r="L167" s="35"/>
      <c r="M167" s="35"/>
      <c r="N167" s="36"/>
      <c r="O167" s="35"/>
      <c r="P167" s="35"/>
      <c r="Q167" s="35"/>
      <c r="R167" s="35"/>
      <c r="S167" s="35"/>
      <c r="T167" s="35"/>
      <c r="U167" s="35"/>
      <c r="V167" s="35"/>
      <c r="W167" s="35"/>
      <c r="X167" s="35"/>
      <c r="Y167" s="35"/>
      <c r="Z167" s="35"/>
    </row>
    <row r="168" spans="1:26" ht="10.5" customHeight="1" x14ac:dyDescent="0.3">
      <c r="A168" s="35"/>
      <c r="B168" s="35"/>
      <c r="C168" s="35"/>
      <c r="D168" s="35"/>
      <c r="E168" s="35"/>
      <c r="F168" s="35"/>
      <c r="G168" s="35"/>
      <c r="H168" s="35"/>
      <c r="I168" s="35"/>
      <c r="J168" s="35"/>
      <c r="K168" s="35"/>
      <c r="L168" s="35"/>
      <c r="M168" s="35"/>
      <c r="N168" s="36"/>
      <c r="O168" s="35"/>
      <c r="P168" s="35"/>
      <c r="Q168" s="35"/>
      <c r="R168" s="35"/>
      <c r="S168" s="35"/>
      <c r="T168" s="35"/>
      <c r="U168" s="35"/>
      <c r="V168" s="35"/>
      <c r="W168" s="35"/>
      <c r="X168" s="35"/>
      <c r="Y168" s="35"/>
      <c r="Z168" s="35"/>
    </row>
    <row r="169" spans="1:26" ht="10.5" customHeight="1" x14ac:dyDescent="0.3">
      <c r="A169" s="35"/>
      <c r="B169" s="35"/>
      <c r="C169" s="35"/>
      <c r="D169" s="35"/>
      <c r="E169" s="35"/>
      <c r="F169" s="35"/>
      <c r="G169" s="35"/>
      <c r="H169" s="35"/>
      <c r="I169" s="35"/>
      <c r="J169" s="35"/>
      <c r="K169" s="35"/>
      <c r="L169" s="35"/>
      <c r="M169" s="35"/>
      <c r="N169" s="36"/>
      <c r="O169" s="35"/>
      <c r="P169" s="35"/>
      <c r="Q169" s="35"/>
      <c r="R169" s="35"/>
      <c r="S169" s="35"/>
      <c r="T169" s="35"/>
      <c r="U169" s="35"/>
      <c r="V169" s="35"/>
      <c r="W169" s="35"/>
      <c r="X169" s="35"/>
      <c r="Y169" s="35"/>
      <c r="Z169" s="35"/>
    </row>
    <row r="170" spans="1:26" ht="10.5" customHeight="1" x14ac:dyDescent="0.3">
      <c r="A170" s="35"/>
      <c r="B170" s="35"/>
      <c r="C170" s="35"/>
      <c r="D170" s="35"/>
      <c r="E170" s="35"/>
      <c r="F170" s="35"/>
      <c r="G170" s="35"/>
      <c r="H170" s="35"/>
      <c r="I170" s="35"/>
      <c r="J170" s="35"/>
      <c r="K170" s="35"/>
      <c r="L170" s="35"/>
      <c r="M170" s="35"/>
      <c r="N170" s="36"/>
      <c r="O170" s="35"/>
      <c r="P170" s="35"/>
      <c r="Q170" s="35"/>
      <c r="R170" s="35"/>
      <c r="S170" s="35"/>
      <c r="T170" s="35"/>
      <c r="U170" s="35"/>
      <c r="V170" s="35"/>
      <c r="W170" s="35"/>
      <c r="X170" s="35"/>
      <c r="Y170" s="35"/>
      <c r="Z170" s="35"/>
    </row>
    <row r="171" spans="1:26" ht="10.5" customHeight="1" x14ac:dyDescent="0.3">
      <c r="A171" s="35"/>
      <c r="B171" s="35"/>
      <c r="C171" s="35"/>
      <c r="D171" s="35"/>
      <c r="E171" s="35"/>
      <c r="F171" s="35"/>
      <c r="G171" s="35"/>
      <c r="H171" s="35"/>
      <c r="I171" s="35"/>
      <c r="J171" s="35"/>
      <c r="K171" s="35"/>
      <c r="L171" s="35"/>
      <c r="M171" s="35"/>
      <c r="N171" s="36"/>
      <c r="O171" s="35"/>
      <c r="P171" s="35"/>
      <c r="Q171" s="35"/>
      <c r="R171" s="35"/>
      <c r="S171" s="35"/>
      <c r="T171" s="35"/>
      <c r="U171" s="35"/>
      <c r="V171" s="35"/>
      <c r="W171" s="35"/>
      <c r="X171" s="35"/>
      <c r="Y171" s="35"/>
      <c r="Z171" s="35"/>
    </row>
    <row r="172" spans="1:26" ht="10.5" customHeight="1" x14ac:dyDescent="0.3">
      <c r="A172" s="35"/>
      <c r="B172" s="35"/>
      <c r="C172" s="35"/>
      <c r="D172" s="35"/>
      <c r="E172" s="35"/>
      <c r="F172" s="35"/>
      <c r="G172" s="35"/>
      <c r="H172" s="35"/>
      <c r="I172" s="35"/>
      <c r="J172" s="35"/>
      <c r="K172" s="35"/>
      <c r="L172" s="35"/>
      <c r="M172" s="35"/>
      <c r="N172" s="36"/>
      <c r="O172" s="35"/>
      <c r="P172" s="35"/>
      <c r="Q172" s="35"/>
      <c r="R172" s="35"/>
      <c r="S172" s="35"/>
      <c r="T172" s="35"/>
      <c r="U172" s="35"/>
      <c r="V172" s="35"/>
      <c r="W172" s="35"/>
      <c r="X172" s="35"/>
      <c r="Y172" s="35"/>
      <c r="Z172" s="35"/>
    </row>
    <row r="173" spans="1:26" ht="10.5" customHeight="1" x14ac:dyDescent="0.3">
      <c r="A173" s="35"/>
      <c r="B173" s="35"/>
      <c r="C173" s="35"/>
      <c r="D173" s="35"/>
      <c r="E173" s="35"/>
      <c r="F173" s="35"/>
      <c r="G173" s="35"/>
      <c r="H173" s="35"/>
      <c r="I173" s="35"/>
      <c r="J173" s="35"/>
      <c r="K173" s="35"/>
      <c r="L173" s="35"/>
      <c r="M173" s="35"/>
      <c r="N173" s="36"/>
      <c r="O173" s="35"/>
      <c r="P173" s="35"/>
      <c r="Q173" s="35"/>
      <c r="R173" s="35"/>
      <c r="S173" s="35"/>
      <c r="T173" s="35"/>
      <c r="U173" s="35"/>
      <c r="V173" s="35"/>
      <c r="W173" s="35"/>
      <c r="X173" s="35"/>
      <c r="Y173" s="35"/>
      <c r="Z173" s="35"/>
    </row>
    <row r="174" spans="1:26" ht="10.5" customHeight="1" x14ac:dyDescent="0.3">
      <c r="A174" s="35"/>
      <c r="B174" s="35"/>
      <c r="C174" s="35"/>
      <c r="D174" s="35"/>
      <c r="E174" s="35"/>
      <c r="F174" s="35"/>
      <c r="G174" s="35"/>
      <c r="H174" s="35"/>
      <c r="I174" s="35"/>
      <c r="J174" s="35"/>
      <c r="K174" s="35"/>
      <c r="L174" s="35"/>
      <c r="M174" s="35"/>
      <c r="N174" s="36"/>
      <c r="O174" s="35"/>
      <c r="P174" s="35"/>
      <c r="Q174" s="35"/>
      <c r="R174" s="35"/>
      <c r="S174" s="35"/>
      <c r="T174" s="35"/>
      <c r="U174" s="35"/>
      <c r="V174" s="35"/>
      <c r="W174" s="35"/>
      <c r="X174" s="35"/>
      <c r="Y174" s="35"/>
      <c r="Z174" s="35"/>
    </row>
    <row r="175" spans="1:26" ht="10.5" customHeight="1" x14ac:dyDescent="0.3">
      <c r="A175" s="35"/>
      <c r="B175" s="35"/>
      <c r="C175" s="35"/>
      <c r="D175" s="35"/>
      <c r="E175" s="35"/>
      <c r="F175" s="35"/>
      <c r="G175" s="35"/>
      <c r="H175" s="35"/>
      <c r="I175" s="35"/>
      <c r="J175" s="35"/>
      <c r="K175" s="35"/>
      <c r="L175" s="35"/>
      <c r="M175" s="35"/>
      <c r="N175" s="36"/>
      <c r="O175" s="35"/>
      <c r="P175" s="35"/>
      <c r="Q175" s="35"/>
      <c r="R175" s="35"/>
      <c r="S175" s="35"/>
      <c r="T175" s="35"/>
      <c r="U175" s="35"/>
      <c r="V175" s="35"/>
      <c r="W175" s="35"/>
      <c r="X175" s="35"/>
      <c r="Y175" s="35"/>
      <c r="Z175" s="35"/>
    </row>
    <row r="176" spans="1:26" ht="10.5" customHeight="1" x14ac:dyDescent="0.3">
      <c r="A176" s="35"/>
      <c r="B176" s="35"/>
      <c r="C176" s="35"/>
      <c r="D176" s="35"/>
      <c r="E176" s="35"/>
      <c r="F176" s="35"/>
      <c r="G176" s="35"/>
      <c r="H176" s="35"/>
      <c r="I176" s="35"/>
      <c r="J176" s="35"/>
      <c r="K176" s="35"/>
      <c r="L176" s="35"/>
      <c r="M176" s="35"/>
      <c r="N176" s="36"/>
      <c r="O176" s="35"/>
      <c r="P176" s="35"/>
      <c r="Q176" s="35"/>
      <c r="R176" s="35"/>
      <c r="S176" s="35"/>
      <c r="T176" s="35"/>
      <c r="U176" s="35"/>
      <c r="V176" s="35"/>
      <c r="W176" s="35"/>
      <c r="X176" s="35"/>
      <c r="Y176" s="35"/>
      <c r="Z176" s="35"/>
    </row>
    <row r="177" spans="1:26" ht="10.5" customHeight="1" x14ac:dyDescent="0.3">
      <c r="A177" s="35"/>
      <c r="B177" s="35"/>
      <c r="C177" s="35"/>
      <c r="D177" s="35"/>
      <c r="E177" s="35"/>
      <c r="F177" s="35"/>
      <c r="G177" s="35"/>
      <c r="H177" s="35"/>
      <c r="I177" s="35"/>
      <c r="J177" s="35"/>
      <c r="K177" s="35"/>
      <c r="L177" s="35"/>
      <c r="M177" s="35"/>
      <c r="N177" s="36"/>
      <c r="O177" s="35"/>
      <c r="P177" s="35"/>
      <c r="Q177" s="35"/>
      <c r="R177" s="35"/>
      <c r="S177" s="35"/>
      <c r="T177" s="35"/>
      <c r="U177" s="35"/>
      <c r="V177" s="35"/>
      <c r="W177" s="35"/>
      <c r="X177" s="35"/>
      <c r="Y177" s="35"/>
      <c r="Z177" s="35"/>
    </row>
    <row r="178" spans="1:26" ht="10.5" customHeight="1" x14ac:dyDescent="0.3">
      <c r="A178" s="35"/>
      <c r="B178" s="35"/>
      <c r="C178" s="35"/>
      <c r="D178" s="35"/>
      <c r="E178" s="35"/>
      <c r="F178" s="35"/>
      <c r="G178" s="35"/>
      <c r="H178" s="35"/>
      <c r="I178" s="35"/>
      <c r="J178" s="35"/>
      <c r="K178" s="35"/>
      <c r="L178" s="35"/>
      <c r="M178" s="35"/>
      <c r="N178" s="36"/>
      <c r="O178" s="35"/>
      <c r="P178" s="35"/>
      <c r="Q178" s="35"/>
      <c r="R178" s="35"/>
      <c r="S178" s="35"/>
      <c r="T178" s="35"/>
      <c r="U178" s="35"/>
      <c r="V178" s="35"/>
      <c r="W178" s="35"/>
      <c r="X178" s="35"/>
      <c r="Y178" s="35"/>
      <c r="Z178" s="35"/>
    </row>
    <row r="179" spans="1:26" ht="10.5" customHeight="1" x14ac:dyDescent="0.3">
      <c r="A179" s="35"/>
      <c r="B179" s="35"/>
      <c r="C179" s="35"/>
      <c r="D179" s="35"/>
      <c r="E179" s="35"/>
      <c r="F179" s="35"/>
      <c r="G179" s="35"/>
      <c r="H179" s="35"/>
      <c r="I179" s="35"/>
      <c r="J179" s="35"/>
      <c r="K179" s="35"/>
      <c r="L179" s="35"/>
      <c r="M179" s="35"/>
      <c r="N179" s="36"/>
      <c r="O179" s="35"/>
      <c r="P179" s="35"/>
      <c r="Q179" s="35"/>
      <c r="R179" s="35"/>
      <c r="S179" s="35"/>
      <c r="T179" s="35"/>
      <c r="U179" s="35"/>
      <c r="V179" s="35"/>
      <c r="W179" s="35"/>
      <c r="X179" s="35"/>
      <c r="Y179" s="35"/>
      <c r="Z179" s="35"/>
    </row>
    <row r="180" spans="1:26" ht="10.5" customHeight="1" x14ac:dyDescent="0.3">
      <c r="A180" s="35"/>
      <c r="B180" s="35"/>
      <c r="C180" s="35"/>
      <c r="D180" s="35"/>
      <c r="E180" s="35"/>
      <c r="F180" s="35"/>
      <c r="G180" s="35"/>
      <c r="H180" s="35"/>
      <c r="I180" s="35"/>
      <c r="J180" s="35"/>
      <c r="K180" s="35"/>
      <c r="L180" s="35"/>
      <c r="M180" s="35"/>
      <c r="N180" s="36"/>
      <c r="O180" s="35"/>
      <c r="P180" s="35"/>
      <c r="Q180" s="35"/>
      <c r="R180" s="35"/>
      <c r="S180" s="35"/>
      <c r="T180" s="35"/>
      <c r="U180" s="35"/>
      <c r="V180" s="35"/>
      <c r="W180" s="35"/>
      <c r="X180" s="35"/>
      <c r="Y180" s="35"/>
      <c r="Z180" s="35"/>
    </row>
    <row r="181" spans="1:26" ht="10.5" customHeight="1" x14ac:dyDescent="0.3">
      <c r="A181" s="35"/>
      <c r="B181" s="35"/>
      <c r="C181" s="35"/>
      <c r="D181" s="35"/>
      <c r="E181" s="35"/>
      <c r="F181" s="35"/>
      <c r="G181" s="35"/>
      <c r="H181" s="35"/>
      <c r="I181" s="35"/>
      <c r="J181" s="35"/>
      <c r="K181" s="35"/>
      <c r="L181" s="35"/>
      <c r="M181" s="35"/>
      <c r="N181" s="36"/>
      <c r="O181" s="35"/>
      <c r="P181" s="35"/>
      <c r="Q181" s="35"/>
      <c r="R181" s="35"/>
      <c r="S181" s="35"/>
      <c r="T181" s="35"/>
      <c r="U181" s="35"/>
      <c r="V181" s="35"/>
      <c r="W181" s="35"/>
      <c r="X181" s="35"/>
      <c r="Y181" s="35"/>
      <c r="Z181" s="35"/>
    </row>
    <row r="182" spans="1:26" ht="10.5" customHeight="1" x14ac:dyDescent="0.3">
      <c r="A182" s="35"/>
      <c r="B182" s="35"/>
      <c r="C182" s="35"/>
      <c r="D182" s="35"/>
      <c r="E182" s="35"/>
      <c r="F182" s="35"/>
      <c r="G182" s="35"/>
      <c r="H182" s="35"/>
      <c r="I182" s="35"/>
      <c r="J182" s="35"/>
      <c r="K182" s="35"/>
      <c r="L182" s="35"/>
      <c r="M182" s="35"/>
      <c r="N182" s="36"/>
      <c r="O182" s="35"/>
      <c r="P182" s="35"/>
      <c r="Q182" s="35"/>
      <c r="R182" s="35"/>
      <c r="S182" s="35"/>
      <c r="T182" s="35"/>
      <c r="U182" s="35"/>
      <c r="V182" s="35"/>
      <c r="W182" s="35"/>
      <c r="X182" s="35"/>
      <c r="Y182" s="35"/>
      <c r="Z182" s="35"/>
    </row>
    <row r="183" spans="1:26" ht="10.5" customHeight="1" x14ac:dyDescent="0.3">
      <c r="A183" s="35"/>
      <c r="B183" s="35"/>
      <c r="C183" s="35"/>
      <c r="D183" s="35"/>
      <c r="E183" s="35"/>
      <c r="F183" s="35"/>
      <c r="G183" s="35"/>
      <c r="H183" s="35"/>
      <c r="I183" s="35"/>
      <c r="J183" s="35"/>
      <c r="K183" s="35"/>
      <c r="L183" s="35"/>
      <c r="M183" s="35"/>
      <c r="N183" s="36"/>
      <c r="O183" s="35"/>
      <c r="P183" s="35"/>
      <c r="Q183" s="35"/>
      <c r="R183" s="35"/>
      <c r="S183" s="35"/>
      <c r="T183" s="35"/>
      <c r="U183" s="35"/>
      <c r="V183" s="35"/>
      <c r="W183" s="35"/>
      <c r="X183" s="35"/>
      <c r="Y183" s="35"/>
      <c r="Z183" s="35"/>
    </row>
    <row r="184" spans="1:26" ht="10.5" customHeight="1" x14ac:dyDescent="0.3">
      <c r="A184" s="35"/>
      <c r="B184" s="35"/>
      <c r="C184" s="35"/>
      <c r="D184" s="35"/>
      <c r="E184" s="35"/>
      <c r="F184" s="35"/>
      <c r="G184" s="35"/>
      <c r="H184" s="35"/>
      <c r="I184" s="35"/>
      <c r="J184" s="35"/>
      <c r="K184" s="35"/>
      <c r="L184" s="35"/>
      <c r="M184" s="35"/>
      <c r="N184" s="36"/>
      <c r="O184" s="35"/>
      <c r="P184" s="35"/>
      <c r="Q184" s="35"/>
      <c r="R184" s="35"/>
      <c r="S184" s="35"/>
      <c r="T184" s="35"/>
      <c r="U184" s="35"/>
      <c r="V184" s="35"/>
      <c r="W184" s="35"/>
      <c r="X184" s="35"/>
      <c r="Y184" s="35"/>
      <c r="Z184" s="35"/>
    </row>
    <row r="185" spans="1:26" ht="10.5" customHeight="1" x14ac:dyDescent="0.3">
      <c r="A185" s="35"/>
      <c r="B185" s="35"/>
      <c r="C185" s="35"/>
      <c r="D185" s="35"/>
      <c r="E185" s="35"/>
      <c r="F185" s="35"/>
      <c r="G185" s="35"/>
      <c r="H185" s="35"/>
      <c r="I185" s="35"/>
      <c r="J185" s="35"/>
      <c r="K185" s="35"/>
      <c r="L185" s="35"/>
      <c r="M185" s="35"/>
      <c r="N185" s="36"/>
      <c r="O185" s="35"/>
      <c r="P185" s="35"/>
      <c r="Q185" s="35"/>
      <c r="R185" s="35"/>
      <c r="S185" s="35"/>
      <c r="T185" s="35"/>
      <c r="U185" s="35"/>
      <c r="V185" s="35"/>
      <c r="W185" s="35"/>
      <c r="X185" s="35"/>
      <c r="Y185" s="35"/>
      <c r="Z185" s="35"/>
    </row>
    <row r="186" spans="1:26" ht="10.5" customHeight="1" x14ac:dyDescent="0.3">
      <c r="A186" s="35"/>
      <c r="B186" s="35"/>
      <c r="C186" s="35"/>
      <c r="D186" s="35"/>
      <c r="E186" s="35"/>
      <c r="F186" s="35"/>
      <c r="G186" s="35"/>
      <c r="H186" s="35"/>
      <c r="I186" s="35"/>
      <c r="J186" s="35"/>
      <c r="K186" s="35"/>
      <c r="L186" s="35"/>
      <c r="M186" s="35"/>
      <c r="N186" s="36"/>
      <c r="O186" s="35"/>
      <c r="P186" s="35"/>
      <c r="Q186" s="35"/>
      <c r="R186" s="35"/>
      <c r="S186" s="35"/>
      <c r="T186" s="35"/>
      <c r="U186" s="35"/>
      <c r="V186" s="35"/>
      <c r="W186" s="35"/>
      <c r="X186" s="35"/>
      <c r="Y186" s="35"/>
      <c r="Z186" s="35"/>
    </row>
    <row r="187" spans="1:26" ht="10.5" customHeight="1" x14ac:dyDescent="0.3">
      <c r="A187" s="35"/>
      <c r="B187" s="35"/>
      <c r="C187" s="35"/>
      <c r="D187" s="35"/>
      <c r="E187" s="35"/>
      <c r="F187" s="35"/>
      <c r="G187" s="35"/>
      <c r="H187" s="35"/>
      <c r="I187" s="35"/>
      <c r="J187" s="35"/>
      <c r="K187" s="35"/>
      <c r="L187" s="35"/>
      <c r="M187" s="35"/>
      <c r="N187" s="36"/>
      <c r="O187" s="35"/>
      <c r="P187" s="35"/>
      <c r="Q187" s="35"/>
      <c r="R187" s="35"/>
      <c r="S187" s="35"/>
      <c r="T187" s="35"/>
      <c r="U187" s="35"/>
      <c r="V187" s="35"/>
      <c r="W187" s="35"/>
      <c r="X187" s="35"/>
      <c r="Y187" s="35"/>
      <c r="Z187" s="35"/>
    </row>
    <row r="188" spans="1:26" ht="10.5" customHeight="1" x14ac:dyDescent="0.3">
      <c r="A188" s="35"/>
      <c r="B188" s="35"/>
      <c r="C188" s="35"/>
      <c r="D188" s="35"/>
      <c r="E188" s="35"/>
      <c r="F188" s="35"/>
      <c r="G188" s="35"/>
      <c r="H188" s="35"/>
      <c r="I188" s="35"/>
      <c r="J188" s="35"/>
      <c r="K188" s="35"/>
      <c r="L188" s="35"/>
      <c r="M188" s="35"/>
      <c r="N188" s="36"/>
      <c r="O188" s="35"/>
      <c r="P188" s="35"/>
      <c r="Q188" s="35"/>
      <c r="R188" s="35"/>
      <c r="S188" s="35"/>
      <c r="T188" s="35"/>
      <c r="U188" s="35"/>
      <c r="V188" s="35"/>
      <c r="W188" s="35"/>
      <c r="X188" s="35"/>
      <c r="Y188" s="35"/>
      <c r="Z188" s="35"/>
    </row>
    <row r="189" spans="1:26" ht="10.5" customHeight="1" x14ac:dyDescent="0.3">
      <c r="A189" s="35"/>
      <c r="B189" s="35"/>
      <c r="C189" s="35"/>
      <c r="D189" s="35"/>
      <c r="E189" s="35"/>
      <c r="F189" s="35"/>
      <c r="G189" s="35"/>
      <c r="H189" s="35"/>
      <c r="I189" s="35"/>
      <c r="J189" s="35"/>
      <c r="K189" s="35"/>
      <c r="L189" s="35"/>
      <c r="M189" s="35"/>
      <c r="N189" s="36"/>
      <c r="O189" s="35"/>
      <c r="P189" s="35"/>
      <c r="Q189" s="35"/>
      <c r="R189" s="35"/>
      <c r="S189" s="35"/>
      <c r="T189" s="35"/>
      <c r="U189" s="35"/>
      <c r="V189" s="35"/>
      <c r="W189" s="35"/>
      <c r="X189" s="35"/>
      <c r="Y189" s="35"/>
      <c r="Z189" s="35"/>
    </row>
    <row r="190" spans="1:26" ht="10.5" customHeight="1" x14ac:dyDescent="0.3">
      <c r="A190" s="35"/>
      <c r="B190" s="35"/>
      <c r="C190" s="35"/>
      <c r="D190" s="35"/>
      <c r="E190" s="35"/>
      <c r="F190" s="35"/>
      <c r="G190" s="35"/>
      <c r="H190" s="35"/>
      <c r="I190" s="35"/>
      <c r="J190" s="35"/>
      <c r="K190" s="35"/>
      <c r="L190" s="35"/>
      <c r="M190" s="35"/>
      <c r="N190" s="36"/>
      <c r="O190" s="35"/>
      <c r="P190" s="35"/>
      <c r="Q190" s="35"/>
      <c r="R190" s="35"/>
      <c r="S190" s="35"/>
      <c r="T190" s="35"/>
      <c r="U190" s="35"/>
      <c r="V190" s="35"/>
      <c r="W190" s="35"/>
      <c r="X190" s="35"/>
      <c r="Y190" s="35"/>
      <c r="Z190" s="35"/>
    </row>
    <row r="191" spans="1:26" ht="10.5" customHeight="1" x14ac:dyDescent="0.3">
      <c r="A191" s="35"/>
      <c r="B191" s="35"/>
      <c r="C191" s="35"/>
      <c r="D191" s="35"/>
      <c r="E191" s="35"/>
      <c r="F191" s="35"/>
      <c r="G191" s="35"/>
      <c r="H191" s="35"/>
      <c r="I191" s="35"/>
      <c r="J191" s="35"/>
      <c r="K191" s="35"/>
      <c r="L191" s="35"/>
      <c r="M191" s="35"/>
      <c r="N191" s="36"/>
      <c r="O191" s="35"/>
      <c r="P191" s="35"/>
      <c r="Q191" s="35"/>
      <c r="R191" s="35"/>
      <c r="S191" s="35"/>
      <c r="T191" s="35"/>
      <c r="U191" s="35"/>
      <c r="V191" s="35"/>
      <c r="W191" s="35"/>
      <c r="X191" s="35"/>
      <c r="Y191" s="35"/>
      <c r="Z191" s="35"/>
    </row>
    <row r="192" spans="1:26" ht="10.5" customHeight="1" x14ac:dyDescent="0.3">
      <c r="A192" s="35"/>
      <c r="B192" s="35"/>
      <c r="C192" s="35"/>
      <c r="D192" s="35"/>
      <c r="E192" s="35"/>
      <c r="F192" s="35"/>
      <c r="G192" s="35"/>
      <c r="H192" s="35"/>
      <c r="I192" s="35"/>
      <c r="J192" s="35"/>
      <c r="K192" s="35"/>
      <c r="L192" s="35"/>
      <c r="M192" s="35"/>
      <c r="N192" s="36"/>
      <c r="O192" s="35"/>
      <c r="P192" s="35"/>
      <c r="Q192" s="35"/>
      <c r="R192" s="35"/>
      <c r="S192" s="35"/>
      <c r="T192" s="35"/>
      <c r="U192" s="35"/>
      <c r="V192" s="35"/>
      <c r="W192" s="35"/>
      <c r="X192" s="35"/>
      <c r="Y192" s="35"/>
      <c r="Z192" s="35"/>
    </row>
    <row r="193" spans="1:26" ht="10.5" customHeight="1" x14ac:dyDescent="0.3">
      <c r="A193" s="35"/>
      <c r="B193" s="35"/>
      <c r="C193" s="35"/>
      <c r="D193" s="35"/>
      <c r="E193" s="35"/>
      <c r="F193" s="35"/>
      <c r="G193" s="35"/>
      <c r="H193" s="35"/>
      <c r="I193" s="35"/>
      <c r="J193" s="35"/>
      <c r="K193" s="35"/>
      <c r="L193" s="35"/>
      <c r="M193" s="35"/>
      <c r="N193" s="36"/>
      <c r="O193" s="35"/>
      <c r="P193" s="35"/>
      <c r="Q193" s="35"/>
      <c r="R193" s="35"/>
      <c r="S193" s="35"/>
      <c r="T193" s="35"/>
      <c r="U193" s="35"/>
      <c r="V193" s="35"/>
      <c r="W193" s="35"/>
      <c r="X193" s="35"/>
      <c r="Y193" s="35"/>
      <c r="Z193" s="35"/>
    </row>
    <row r="194" spans="1:26" ht="10.5" customHeight="1" x14ac:dyDescent="0.3">
      <c r="A194" s="35"/>
      <c r="B194" s="35"/>
      <c r="C194" s="35"/>
      <c r="D194" s="35"/>
      <c r="E194" s="35"/>
      <c r="F194" s="35"/>
      <c r="G194" s="35"/>
      <c r="H194" s="35"/>
      <c r="I194" s="35"/>
      <c r="J194" s="35"/>
      <c r="K194" s="35"/>
      <c r="L194" s="35"/>
      <c r="M194" s="35"/>
      <c r="N194" s="36"/>
      <c r="O194" s="35"/>
      <c r="P194" s="35"/>
      <c r="Q194" s="35"/>
      <c r="R194" s="35"/>
      <c r="S194" s="35"/>
      <c r="T194" s="35"/>
      <c r="U194" s="35"/>
      <c r="V194" s="35"/>
      <c r="W194" s="35"/>
      <c r="X194" s="35"/>
      <c r="Y194" s="35"/>
      <c r="Z194" s="35"/>
    </row>
    <row r="195" spans="1:26" ht="10.5" customHeight="1" x14ac:dyDescent="0.3">
      <c r="A195" s="35"/>
      <c r="B195" s="35"/>
      <c r="C195" s="35"/>
      <c r="D195" s="35"/>
      <c r="E195" s="35"/>
      <c r="F195" s="35"/>
      <c r="G195" s="35"/>
      <c r="H195" s="35"/>
      <c r="I195" s="35"/>
      <c r="J195" s="35"/>
      <c r="K195" s="35"/>
      <c r="L195" s="35"/>
      <c r="M195" s="35"/>
      <c r="N195" s="36"/>
      <c r="O195" s="35"/>
      <c r="P195" s="35"/>
      <c r="Q195" s="35"/>
      <c r="R195" s="35"/>
      <c r="S195" s="35"/>
      <c r="T195" s="35"/>
      <c r="U195" s="35"/>
      <c r="V195" s="35"/>
      <c r="W195" s="35"/>
      <c r="X195" s="35"/>
      <c r="Y195" s="35"/>
      <c r="Z195" s="35"/>
    </row>
    <row r="196" spans="1:26" ht="10.5" customHeight="1" x14ac:dyDescent="0.3">
      <c r="A196" s="35"/>
      <c r="B196" s="35"/>
      <c r="C196" s="35"/>
      <c r="D196" s="35"/>
      <c r="E196" s="35"/>
      <c r="F196" s="35"/>
      <c r="G196" s="35"/>
      <c r="H196" s="35"/>
      <c r="I196" s="35"/>
      <c r="J196" s="35"/>
      <c r="K196" s="35"/>
      <c r="L196" s="35"/>
      <c r="M196" s="35"/>
      <c r="N196" s="36"/>
      <c r="O196" s="35"/>
      <c r="P196" s="35"/>
      <c r="Q196" s="35"/>
      <c r="R196" s="35"/>
      <c r="S196" s="35"/>
      <c r="T196" s="35"/>
      <c r="U196" s="35"/>
      <c r="V196" s="35"/>
      <c r="W196" s="35"/>
      <c r="X196" s="35"/>
      <c r="Y196" s="35"/>
      <c r="Z196" s="35"/>
    </row>
    <row r="197" spans="1:26" ht="10.5" customHeight="1" x14ac:dyDescent="0.3">
      <c r="A197" s="35"/>
      <c r="B197" s="35"/>
      <c r="C197" s="35"/>
      <c r="D197" s="35"/>
      <c r="E197" s="35"/>
      <c r="F197" s="35"/>
      <c r="G197" s="35"/>
      <c r="H197" s="35"/>
      <c r="I197" s="35"/>
      <c r="J197" s="35"/>
      <c r="K197" s="35"/>
      <c r="L197" s="35"/>
      <c r="M197" s="35"/>
      <c r="N197" s="36"/>
      <c r="O197" s="35"/>
      <c r="P197" s="35"/>
      <c r="Q197" s="35"/>
      <c r="R197" s="35"/>
      <c r="S197" s="35"/>
      <c r="T197" s="35"/>
      <c r="U197" s="35"/>
      <c r="V197" s="35"/>
      <c r="W197" s="35"/>
      <c r="X197" s="35"/>
      <c r="Y197" s="35"/>
      <c r="Z197" s="35"/>
    </row>
    <row r="198" spans="1:26" ht="10.5" customHeight="1" x14ac:dyDescent="0.3">
      <c r="A198" s="35"/>
      <c r="B198" s="35"/>
      <c r="C198" s="35"/>
      <c r="D198" s="35"/>
      <c r="E198" s="35"/>
      <c r="F198" s="35"/>
      <c r="G198" s="35"/>
      <c r="H198" s="35"/>
      <c r="I198" s="35"/>
      <c r="J198" s="35"/>
      <c r="K198" s="35"/>
      <c r="L198" s="35"/>
      <c r="M198" s="35"/>
      <c r="N198" s="36"/>
      <c r="O198" s="35"/>
      <c r="P198" s="35"/>
      <c r="Q198" s="35"/>
      <c r="R198" s="35"/>
      <c r="S198" s="35"/>
      <c r="T198" s="35"/>
      <c r="U198" s="35"/>
      <c r="V198" s="35"/>
      <c r="W198" s="35"/>
      <c r="X198" s="35"/>
      <c r="Y198" s="35"/>
      <c r="Z198" s="35"/>
    </row>
    <row r="199" spans="1:26" ht="10.5" customHeight="1" x14ac:dyDescent="0.3">
      <c r="A199" s="35"/>
      <c r="B199" s="35"/>
      <c r="C199" s="35"/>
      <c r="D199" s="35"/>
      <c r="E199" s="35"/>
      <c r="F199" s="35"/>
      <c r="G199" s="35"/>
      <c r="H199" s="35"/>
      <c r="I199" s="35"/>
      <c r="J199" s="35"/>
      <c r="K199" s="35"/>
      <c r="L199" s="35"/>
      <c r="M199" s="35"/>
      <c r="N199" s="36"/>
      <c r="O199" s="35"/>
      <c r="P199" s="35"/>
      <c r="Q199" s="35"/>
      <c r="R199" s="35"/>
      <c r="S199" s="35"/>
      <c r="T199" s="35"/>
      <c r="U199" s="35"/>
      <c r="V199" s="35"/>
      <c r="W199" s="35"/>
      <c r="X199" s="35"/>
      <c r="Y199" s="35"/>
      <c r="Z199" s="35"/>
    </row>
    <row r="200" spans="1:26" ht="10.5" customHeight="1" x14ac:dyDescent="0.3">
      <c r="A200" s="35"/>
      <c r="B200" s="35"/>
      <c r="C200" s="35"/>
      <c r="D200" s="35"/>
      <c r="E200" s="35"/>
      <c r="F200" s="35"/>
      <c r="G200" s="35"/>
      <c r="H200" s="35"/>
      <c r="I200" s="35"/>
      <c r="J200" s="35"/>
      <c r="K200" s="35"/>
      <c r="L200" s="35"/>
      <c r="M200" s="35"/>
      <c r="N200" s="36"/>
      <c r="O200" s="35"/>
      <c r="P200" s="35"/>
      <c r="Q200" s="35"/>
      <c r="R200" s="35"/>
      <c r="S200" s="35"/>
      <c r="T200" s="35"/>
      <c r="U200" s="35"/>
      <c r="V200" s="35"/>
      <c r="W200" s="35"/>
      <c r="X200" s="35"/>
      <c r="Y200" s="35"/>
      <c r="Z200" s="35"/>
    </row>
    <row r="201" spans="1:26" ht="10.5" customHeight="1" x14ac:dyDescent="0.3">
      <c r="A201" s="35"/>
      <c r="B201" s="35"/>
      <c r="C201" s="35"/>
      <c r="D201" s="35"/>
      <c r="E201" s="35"/>
      <c r="F201" s="35"/>
      <c r="G201" s="35"/>
      <c r="H201" s="35"/>
      <c r="I201" s="35"/>
      <c r="J201" s="35"/>
      <c r="K201" s="35"/>
      <c r="L201" s="35"/>
      <c r="M201" s="35"/>
      <c r="N201" s="36"/>
      <c r="O201" s="35"/>
      <c r="P201" s="35"/>
      <c r="Q201" s="35"/>
      <c r="R201" s="35"/>
      <c r="S201" s="35"/>
      <c r="T201" s="35"/>
      <c r="U201" s="35"/>
      <c r="V201" s="35"/>
      <c r="W201" s="35"/>
      <c r="X201" s="35"/>
      <c r="Y201" s="35"/>
      <c r="Z201" s="35"/>
    </row>
    <row r="202" spans="1:26" ht="10.5" customHeight="1" x14ac:dyDescent="0.3">
      <c r="A202" s="35"/>
      <c r="B202" s="35"/>
      <c r="C202" s="35"/>
      <c r="D202" s="35"/>
      <c r="E202" s="35"/>
      <c r="F202" s="35"/>
      <c r="G202" s="35"/>
      <c r="H202" s="35"/>
      <c r="I202" s="35"/>
      <c r="J202" s="35"/>
      <c r="K202" s="35"/>
      <c r="L202" s="35"/>
      <c r="M202" s="35"/>
      <c r="N202" s="36"/>
      <c r="O202" s="35"/>
      <c r="P202" s="35"/>
      <c r="Q202" s="35"/>
      <c r="R202" s="35"/>
      <c r="S202" s="35"/>
      <c r="T202" s="35"/>
      <c r="U202" s="35"/>
      <c r="V202" s="35"/>
      <c r="W202" s="35"/>
      <c r="X202" s="35"/>
      <c r="Y202" s="35"/>
      <c r="Z202" s="35"/>
    </row>
    <row r="203" spans="1:26" ht="10.5" customHeight="1" x14ac:dyDescent="0.3">
      <c r="A203" s="35"/>
      <c r="B203" s="35"/>
      <c r="C203" s="35"/>
      <c r="D203" s="35"/>
      <c r="E203" s="35"/>
      <c r="F203" s="35"/>
      <c r="G203" s="35"/>
      <c r="H203" s="35"/>
      <c r="I203" s="35"/>
      <c r="J203" s="35"/>
      <c r="K203" s="35"/>
      <c r="L203" s="35"/>
      <c r="M203" s="35"/>
      <c r="N203" s="36"/>
      <c r="O203" s="35"/>
      <c r="P203" s="35"/>
      <c r="Q203" s="35"/>
      <c r="R203" s="35"/>
      <c r="S203" s="35"/>
      <c r="T203" s="35"/>
      <c r="U203" s="35"/>
      <c r="V203" s="35"/>
      <c r="W203" s="35"/>
      <c r="X203" s="35"/>
      <c r="Y203" s="35"/>
      <c r="Z203" s="35"/>
    </row>
    <row r="204" spans="1:26" ht="10.5" customHeight="1" x14ac:dyDescent="0.3">
      <c r="A204" s="35"/>
      <c r="B204" s="35"/>
      <c r="C204" s="35"/>
      <c r="D204" s="35"/>
      <c r="E204" s="35"/>
      <c r="F204" s="35"/>
      <c r="G204" s="35"/>
      <c r="H204" s="35"/>
      <c r="I204" s="35"/>
      <c r="J204" s="35"/>
      <c r="K204" s="35"/>
      <c r="L204" s="35"/>
      <c r="M204" s="35"/>
      <c r="N204" s="36"/>
      <c r="O204" s="35"/>
      <c r="P204" s="35"/>
      <c r="Q204" s="35"/>
      <c r="R204" s="35"/>
      <c r="S204" s="35"/>
      <c r="T204" s="35"/>
      <c r="U204" s="35"/>
      <c r="V204" s="35"/>
      <c r="W204" s="35"/>
      <c r="X204" s="35"/>
      <c r="Y204" s="35"/>
      <c r="Z204" s="35"/>
    </row>
    <row r="205" spans="1:26" ht="10.5" customHeight="1" x14ac:dyDescent="0.3">
      <c r="A205" s="35"/>
      <c r="B205" s="35"/>
      <c r="C205" s="35"/>
      <c r="D205" s="35"/>
      <c r="E205" s="35"/>
      <c r="F205" s="35"/>
      <c r="G205" s="35"/>
      <c r="H205" s="35"/>
      <c r="I205" s="35"/>
      <c r="J205" s="35"/>
      <c r="K205" s="35"/>
      <c r="L205" s="35"/>
      <c r="M205" s="35"/>
      <c r="N205" s="36"/>
      <c r="O205" s="35"/>
      <c r="P205" s="35"/>
      <c r="Q205" s="35"/>
      <c r="R205" s="35"/>
      <c r="S205" s="35"/>
      <c r="T205" s="35"/>
      <c r="U205" s="35"/>
      <c r="V205" s="35"/>
      <c r="W205" s="35"/>
      <c r="X205" s="35"/>
      <c r="Y205" s="35"/>
      <c r="Z205" s="35"/>
    </row>
    <row r="206" spans="1:26" ht="10.5" customHeight="1" x14ac:dyDescent="0.3">
      <c r="A206" s="35"/>
      <c r="B206" s="35"/>
      <c r="C206" s="35"/>
      <c r="D206" s="35"/>
      <c r="E206" s="35"/>
      <c r="F206" s="35"/>
      <c r="G206" s="35"/>
      <c r="H206" s="35"/>
      <c r="I206" s="35"/>
      <c r="J206" s="35"/>
      <c r="K206" s="35"/>
      <c r="L206" s="35"/>
      <c r="M206" s="35"/>
      <c r="N206" s="36"/>
      <c r="O206" s="35"/>
      <c r="P206" s="35"/>
      <c r="Q206" s="35"/>
      <c r="R206" s="35"/>
      <c r="S206" s="35"/>
      <c r="T206" s="35"/>
      <c r="U206" s="35"/>
      <c r="V206" s="35"/>
      <c r="W206" s="35"/>
      <c r="X206" s="35"/>
      <c r="Y206" s="35"/>
      <c r="Z206" s="35"/>
    </row>
    <row r="207" spans="1:26" ht="10.5" customHeight="1" x14ac:dyDescent="0.3">
      <c r="A207" s="35"/>
      <c r="B207" s="35"/>
      <c r="C207" s="35"/>
      <c r="D207" s="35"/>
      <c r="E207" s="35"/>
      <c r="F207" s="35"/>
      <c r="G207" s="35"/>
      <c r="H207" s="35"/>
      <c r="I207" s="35"/>
      <c r="J207" s="35"/>
      <c r="K207" s="35"/>
      <c r="L207" s="35"/>
      <c r="M207" s="35"/>
      <c r="N207" s="36"/>
      <c r="O207" s="35"/>
      <c r="P207" s="35"/>
      <c r="Q207" s="35"/>
      <c r="R207" s="35"/>
      <c r="S207" s="35"/>
      <c r="T207" s="35"/>
      <c r="U207" s="35"/>
      <c r="V207" s="35"/>
      <c r="W207" s="35"/>
      <c r="X207" s="35"/>
      <c r="Y207" s="35"/>
      <c r="Z207" s="35"/>
    </row>
    <row r="208" spans="1:26" ht="10.5" customHeight="1" x14ac:dyDescent="0.3">
      <c r="A208" s="35"/>
      <c r="B208" s="35"/>
      <c r="C208" s="35"/>
      <c r="D208" s="35"/>
      <c r="E208" s="35"/>
      <c r="F208" s="35"/>
      <c r="G208" s="35"/>
      <c r="H208" s="35"/>
      <c r="I208" s="35"/>
      <c r="J208" s="35"/>
      <c r="K208" s="35"/>
      <c r="L208" s="35"/>
      <c r="M208" s="35"/>
      <c r="N208" s="36"/>
      <c r="O208" s="35"/>
      <c r="P208" s="35"/>
      <c r="Q208" s="35"/>
      <c r="R208" s="35"/>
      <c r="S208" s="35"/>
      <c r="T208" s="35"/>
      <c r="U208" s="35"/>
      <c r="V208" s="35"/>
      <c r="W208" s="35"/>
      <c r="X208" s="35"/>
      <c r="Y208" s="35"/>
      <c r="Z208" s="35"/>
    </row>
    <row r="209" spans="1:26" ht="10.5" customHeight="1" x14ac:dyDescent="0.3">
      <c r="A209" s="35"/>
      <c r="B209" s="35"/>
      <c r="C209" s="35"/>
      <c r="D209" s="35"/>
      <c r="E209" s="35"/>
      <c r="F209" s="35"/>
      <c r="G209" s="35"/>
      <c r="H209" s="35"/>
      <c r="I209" s="35"/>
      <c r="J209" s="35"/>
      <c r="K209" s="35"/>
      <c r="L209" s="35"/>
      <c r="M209" s="35"/>
      <c r="N209" s="36"/>
      <c r="O209" s="35"/>
      <c r="P209" s="35"/>
      <c r="Q209" s="35"/>
      <c r="R209" s="35"/>
      <c r="S209" s="35"/>
      <c r="T209" s="35"/>
      <c r="U209" s="35"/>
      <c r="V209" s="35"/>
      <c r="W209" s="35"/>
      <c r="X209" s="35"/>
      <c r="Y209" s="35"/>
      <c r="Z209" s="35"/>
    </row>
    <row r="210" spans="1:26" ht="10.5" customHeight="1" x14ac:dyDescent="0.3">
      <c r="A210" s="35"/>
      <c r="B210" s="35"/>
      <c r="C210" s="35"/>
      <c r="D210" s="35"/>
      <c r="E210" s="35"/>
      <c r="F210" s="35"/>
      <c r="G210" s="35"/>
      <c r="H210" s="35"/>
      <c r="I210" s="35"/>
      <c r="J210" s="35"/>
      <c r="K210" s="35"/>
      <c r="L210" s="35"/>
      <c r="M210" s="35"/>
      <c r="N210" s="36"/>
      <c r="O210" s="35"/>
      <c r="P210" s="35"/>
      <c r="Q210" s="35"/>
      <c r="R210" s="35"/>
      <c r="S210" s="35"/>
      <c r="T210" s="35"/>
      <c r="U210" s="35"/>
      <c r="V210" s="35"/>
      <c r="W210" s="35"/>
      <c r="X210" s="35"/>
      <c r="Y210" s="35"/>
      <c r="Z210" s="35"/>
    </row>
    <row r="211" spans="1:26" ht="10.5" customHeight="1" x14ac:dyDescent="0.3">
      <c r="A211" s="35"/>
      <c r="B211" s="35"/>
      <c r="C211" s="35"/>
      <c r="D211" s="35"/>
      <c r="E211" s="35"/>
      <c r="F211" s="35"/>
      <c r="G211" s="35"/>
      <c r="H211" s="35"/>
      <c r="I211" s="35"/>
      <c r="J211" s="35"/>
      <c r="K211" s="35"/>
      <c r="L211" s="35"/>
      <c r="M211" s="35"/>
      <c r="N211" s="36"/>
      <c r="O211" s="35"/>
      <c r="P211" s="35"/>
      <c r="Q211" s="35"/>
      <c r="R211" s="35"/>
      <c r="S211" s="35"/>
      <c r="T211" s="35"/>
      <c r="U211" s="35"/>
      <c r="V211" s="35"/>
      <c r="W211" s="35"/>
      <c r="X211" s="35"/>
      <c r="Y211" s="35"/>
      <c r="Z211" s="35"/>
    </row>
    <row r="212" spans="1:26" ht="10.5" customHeight="1" x14ac:dyDescent="0.3">
      <c r="A212" s="35"/>
      <c r="B212" s="35"/>
      <c r="C212" s="35"/>
      <c r="D212" s="35"/>
      <c r="E212" s="35"/>
      <c r="F212" s="35"/>
      <c r="G212" s="35"/>
      <c r="H212" s="35"/>
      <c r="I212" s="35"/>
      <c r="J212" s="35"/>
      <c r="K212" s="35"/>
      <c r="L212" s="35"/>
      <c r="M212" s="35"/>
      <c r="N212" s="36"/>
      <c r="O212" s="35"/>
      <c r="P212" s="35"/>
      <c r="Q212" s="35"/>
      <c r="R212" s="35"/>
      <c r="S212" s="35"/>
      <c r="T212" s="35"/>
      <c r="U212" s="35"/>
      <c r="V212" s="35"/>
      <c r="W212" s="35"/>
      <c r="X212" s="35"/>
      <c r="Y212" s="35"/>
      <c r="Z212" s="35"/>
    </row>
    <row r="213" spans="1:26" ht="10.5" customHeight="1" x14ac:dyDescent="0.3">
      <c r="A213" s="35"/>
      <c r="B213" s="35"/>
      <c r="C213" s="35"/>
      <c r="D213" s="35"/>
      <c r="E213" s="35"/>
      <c r="F213" s="35"/>
      <c r="G213" s="35"/>
      <c r="H213" s="35"/>
      <c r="I213" s="35"/>
      <c r="J213" s="35"/>
      <c r="K213" s="35"/>
      <c r="L213" s="35"/>
      <c r="M213" s="35"/>
      <c r="N213" s="36"/>
      <c r="O213" s="35"/>
      <c r="P213" s="35"/>
      <c r="Q213" s="35"/>
      <c r="R213" s="35"/>
      <c r="S213" s="35"/>
      <c r="T213" s="35"/>
      <c r="U213" s="35"/>
      <c r="V213" s="35"/>
      <c r="W213" s="35"/>
      <c r="X213" s="35"/>
      <c r="Y213" s="35"/>
      <c r="Z213" s="35"/>
    </row>
    <row r="214" spans="1:26" ht="10.5" customHeight="1" x14ac:dyDescent="0.3">
      <c r="A214" s="35"/>
      <c r="B214" s="35"/>
      <c r="C214" s="35"/>
      <c r="D214" s="35"/>
      <c r="E214" s="35"/>
      <c r="F214" s="35"/>
      <c r="G214" s="35"/>
      <c r="H214" s="35"/>
      <c r="I214" s="35"/>
      <c r="J214" s="35"/>
      <c r="K214" s="35"/>
      <c r="L214" s="35"/>
      <c r="M214" s="35"/>
      <c r="N214" s="36"/>
      <c r="O214" s="35"/>
      <c r="P214" s="35"/>
      <c r="Q214" s="35"/>
      <c r="R214" s="35"/>
      <c r="S214" s="35"/>
      <c r="T214" s="35"/>
      <c r="U214" s="35"/>
      <c r="V214" s="35"/>
      <c r="W214" s="35"/>
      <c r="X214" s="35"/>
      <c r="Y214" s="35"/>
      <c r="Z214" s="35"/>
    </row>
    <row r="215" spans="1:26" ht="10.5" customHeight="1" x14ac:dyDescent="0.3">
      <c r="A215" s="35"/>
      <c r="B215" s="35"/>
      <c r="C215" s="35"/>
      <c r="D215" s="35"/>
      <c r="E215" s="35"/>
      <c r="F215" s="35"/>
      <c r="G215" s="35"/>
      <c r="H215" s="35"/>
      <c r="I215" s="35"/>
      <c r="J215" s="35"/>
      <c r="K215" s="35"/>
      <c r="L215" s="35"/>
      <c r="M215" s="35"/>
      <c r="N215" s="36"/>
      <c r="O215" s="35"/>
      <c r="P215" s="35"/>
      <c r="Q215" s="35"/>
      <c r="R215" s="35"/>
      <c r="S215" s="35"/>
      <c r="T215" s="35"/>
      <c r="U215" s="35"/>
      <c r="V215" s="35"/>
      <c r="W215" s="35"/>
      <c r="X215" s="35"/>
      <c r="Y215" s="35"/>
      <c r="Z215" s="35"/>
    </row>
    <row r="216" spans="1:26" ht="10.5" customHeight="1" x14ac:dyDescent="0.3">
      <c r="A216" s="35"/>
      <c r="B216" s="35"/>
      <c r="C216" s="35"/>
      <c r="D216" s="35"/>
      <c r="E216" s="35"/>
      <c r="F216" s="35"/>
      <c r="G216" s="35"/>
      <c r="H216" s="35"/>
      <c r="I216" s="35"/>
      <c r="J216" s="35"/>
      <c r="K216" s="35"/>
      <c r="L216" s="35"/>
      <c r="M216" s="35"/>
      <c r="N216" s="36"/>
      <c r="O216" s="35"/>
      <c r="P216" s="35"/>
      <c r="Q216" s="35"/>
      <c r="R216" s="35"/>
      <c r="S216" s="35"/>
      <c r="T216" s="35"/>
      <c r="U216" s="35"/>
      <c r="V216" s="35"/>
      <c r="W216" s="35"/>
      <c r="X216" s="35"/>
      <c r="Y216" s="35"/>
      <c r="Z216" s="35"/>
    </row>
    <row r="217" spans="1:26" ht="10.5" customHeight="1" x14ac:dyDescent="0.3">
      <c r="A217" s="35"/>
      <c r="B217" s="35"/>
      <c r="C217" s="35"/>
      <c r="D217" s="35"/>
      <c r="E217" s="35"/>
      <c r="F217" s="35"/>
      <c r="G217" s="35"/>
      <c r="H217" s="35"/>
      <c r="I217" s="35"/>
      <c r="J217" s="35"/>
      <c r="K217" s="35"/>
      <c r="L217" s="35"/>
      <c r="M217" s="35"/>
      <c r="N217" s="36"/>
      <c r="O217" s="35"/>
      <c r="P217" s="35"/>
      <c r="Q217" s="35"/>
      <c r="R217" s="35"/>
      <c r="S217" s="35"/>
      <c r="T217" s="35"/>
      <c r="U217" s="35"/>
      <c r="V217" s="35"/>
      <c r="W217" s="35"/>
      <c r="X217" s="35"/>
      <c r="Y217" s="35"/>
      <c r="Z217" s="35"/>
    </row>
    <row r="218" spans="1:26" ht="10.5" customHeight="1" x14ac:dyDescent="0.3">
      <c r="A218" s="35"/>
      <c r="B218" s="35"/>
      <c r="C218" s="35"/>
      <c r="D218" s="35"/>
      <c r="E218" s="35"/>
      <c r="F218" s="35"/>
      <c r="G218" s="35"/>
      <c r="H218" s="35"/>
      <c r="I218" s="35"/>
      <c r="J218" s="35"/>
      <c r="K218" s="35"/>
      <c r="L218" s="35"/>
      <c r="M218" s="35"/>
      <c r="N218" s="36"/>
      <c r="O218" s="35"/>
      <c r="P218" s="35"/>
      <c r="Q218" s="35"/>
      <c r="R218" s="35"/>
      <c r="S218" s="35"/>
      <c r="T218" s="35"/>
      <c r="U218" s="35"/>
      <c r="V218" s="35"/>
      <c r="W218" s="35"/>
      <c r="X218" s="35"/>
      <c r="Y218" s="35"/>
      <c r="Z218" s="35"/>
    </row>
    <row r="219" spans="1:26" ht="10.5" customHeight="1" x14ac:dyDescent="0.3">
      <c r="A219" s="35"/>
      <c r="B219" s="35"/>
      <c r="C219" s="35"/>
      <c r="D219" s="35"/>
      <c r="E219" s="35"/>
      <c r="F219" s="35"/>
      <c r="G219" s="35"/>
      <c r="H219" s="35"/>
      <c r="I219" s="35"/>
      <c r="J219" s="35"/>
      <c r="K219" s="35"/>
      <c r="L219" s="35"/>
      <c r="M219" s="35"/>
      <c r="N219" s="36"/>
      <c r="O219" s="35"/>
      <c r="P219" s="35"/>
      <c r="Q219" s="35"/>
      <c r="R219" s="35"/>
      <c r="S219" s="35"/>
      <c r="T219" s="35"/>
      <c r="U219" s="35"/>
      <c r="V219" s="35"/>
      <c r="W219" s="35"/>
      <c r="X219" s="35"/>
      <c r="Y219" s="35"/>
      <c r="Z219" s="35"/>
    </row>
    <row r="220" spans="1:26" ht="10.5" customHeight="1" x14ac:dyDescent="0.3">
      <c r="A220" s="35"/>
      <c r="B220" s="35"/>
      <c r="C220" s="35"/>
      <c r="D220" s="35"/>
      <c r="E220" s="35"/>
      <c r="F220" s="35"/>
      <c r="G220" s="35"/>
      <c r="H220" s="35"/>
      <c r="I220" s="35"/>
      <c r="J220" s="35"/>
      <c r="K220" s="35"/>
      <c r="L220" s="35"/>
      <c r="M220" s="35"/>
      <c r="N220" s="36"/>
      <c r="O220" s="35"/>
      <c r="P220" s="35"/>
      <c r="Q220" s="35"/>
      <c r="R220" s="35"/>
      <c r="S220" s="35"/>
      <c r="T220" s="35"/>
      <c r="U220" s="35"/>
      <c r="V220" s="35"/>
      <c r="W220" s="35"/>
      <c r="X220" s="35"/>
      <c r="Y220" s="35"/>
      <c r="Z220" s="35"/>
    </row>
    <row r="221" spans="1:26" ht="10.5" customHeight="1" x14ac:dyDescent="0.3">
      <c r="A221" s="35"/>
      <c r="B221" s="35"/>
      <c r="C221" s="35"/>
      <c r="D221" s="35"/>
      <c r="E221" s="35"/>
      <c r="F221" s="35"/>
      <c r="G221" s="35"/>
      <c r="H221" s="35"/>
      <c r="I221" s="35"/>
      <c r="J221" s="35"/>
      <c r="K221" s="35"/>
      <c r="L221" s="35"/>
      <c r="M221" s="35"/>
      <c r="N221" s="36"/>
      <c r="O221" s="35"/>
      <c r="P221" s="35"/>
      <c r="Q221" s="35"/>
      <c r="R221" s="35"/>
      <c r="S221" s="35"/>
      <c r="T221" s="35"/>
      <c r="U221" s="35"/>
      <c r="V221" s="35"/>
      <c r="W221" s="35"/>
      <c r="X221" s="35"/>
      <c r="Y221" s="35"/>
      <c r="Z221" s="35"/>
    </row>
    <row r="222" spans="1:26" ht="10.5" customHeight="1" x14ac:dyDescent="0.3">
      <c r="A222" s="35"/>
      <c r="B222" s="35"/>
      <c r="C222" s="35"/>
      <c r="D222" s="35"/>
      <c r="E222" s="35"/>
      <c r="F222" s="35"/>
      <c r="G222" s="35"/>
      <c r="H222" s="35"/>
      <c r="I222" s="35"/>
      <c r="J222" s="35"/>
      <c r="K222" s="35"/>
      <c r="L222" s="35"/>
      <c r="M222" s="35"/>
      <c r="N222" s="36"/>
      <c r="O222" s="35"/>
      <c r="P222" s="35"/>
      <c r="Q222" s="35"/>
      <c r="R222" s="35"/>
      <c r="S222" s="35"/>
      <c r="T222" s="35"/>
      <c r="U222" s="35"/>
      <c r="V222" s="35"/>
      <c r="W222" s="35"/>
      <c r="X222" s="35"/>
      <c r="Y222" s="35"/>
      <c r="Z222" s="35"/>
    </row>
    <row r="223" spans="1:26" ht="10.5" customHeight="1" x14ac:dyDescent="0.3">
      <c r="A223" s="35"/>
      <c r="B223" s="35"/>
      <c r="C223" s="35"/>
      <c r="D223" s="35"/>
      <c r="E223" s="35"/>
      <c r="F223" s="35"/>
      <c r="G223" s="35"/>
      <c r="H223" s="35"/>
      <c r="I223" s="35"/>
      <c r="J223" s="35"/>
      <c r="K223" s="35"/>
      <c r="L223" s="35"/>
      <c r="M223" s="35"/>
      <c r="N223" s="36"/>
      <c r="O223" s="35"/>
      <c r="P223" s="35"/>
      <c r="Q223" s="35"/>
      <c r="R223" s="35"/>
      <c r="S223" s="35"/>
      <c r="T223" s="35"/>
      <c r="U223" s="35"/>
      <c r="V223" s="35"/>
      <c r="W223" s="35"/>
      <c r="X223" s="35"/>
      <c r="Y223" s="35"/>
      <c r="Z223" s="35"/>
    </row>
    <row r="224" spans="1:26" ht="10.5" customHeight="1" x14ac:dyDescent="0.3">
      <c r="A224" s="35"/>
      <c r="B224" s="35"/>
      <c r="C224" s="35"/>
      <c r="D224" s="35"/>
      <c r="E224" s="35"/>
      <c r="F224" s="35"/>
      <c r="G224" s="35"/>
      <c r="H224" s="35"/>
      <c r="I224" s="35"/>
      <c r="J224" s="35"/>
      <c r="K224" s="35"/>
      <c r="L224" s="35"/>
      <c r="M224" s="35"/>
      <c r="N224" s="36"/>
      <c r="O224" s="35"/>
      <c r="P224" s="35"/>
      <c r="Q224" s="35"/>
      <c r="R224" s="35"/>
      <c r="S224" s="35"/>
      <c r="T224" s="35"/>
      <c r="U224" s="35"/>
      <c r="V224" s="35"/>
      <c r="W224" s="35"/>
      <c r="X224" s="35"/>
      <c r="Y224" s="35"/>
      <c r="Z224" s="35"/>
    </row>
    <row r="225" spans="1:26" ht="10.5" customHeight="1" x14ac:dyDescent="0.3">
      <c r="A225" s="35"/>
      <c r="B225" s="35"/>
      <c r="C225" s="35"/>
      <c r="D225" s="35"/>
      <c r="E225" s="35"/>
      <c r="F225" s="35"/>
      <c r="G225" s="35"/>
      <c r="H225" s="35"/>
      <c r="I225" s="35"/>
      <c r="J225" s="35"/>
      <c r="K225" s="35"/>
      <c r="L225" s="35"/>
      <c r="M225" s="35"/>
      <c r="N225" s="36"/>
      <c r="O225" s="35"/>
      <c r="P225" s="35"/>
      <c r="Q225" s="35"/>
      <c r="R225" s="35"/>
      <c r="S225" s="35"/>
      <c r="T225" s="35"/>
      <c r="U225" s="35"/>
      <c r="V225" s="35"/>
      <c r="W225" s="35"/>
      <c r="X225" s="35"/>
      <c r="Y225" s="35"/>
      <c r="Z225" s="35"/>
    </row>
    <row r="226" spans="1:26" ht="10.5" customHeight="1" x14ac:dyDescent="0.3">
      <c r="A226" s="35"/>
      <c r="B226" s="35"/>
      <c r="C226" s="35"/>
      <c r="D226" s="35"/>
      <c r="E226" s="35"/>
      <c r="F226" s="35"/>
      <c r="G226" s="35"/>
      <c r="H226" s="35"/>
      <c r="I226" s="35"/>
      <c r="J226" s="35"/>
      <c r="K226" s="35"/>
      <c r="L226" s="35"/>
      <c r="M226" s="35"/>
      <c r="N226" s="36"/>
      <c r="O226" s="35"/>
      <c r="P226" s="35"/>
      <c r="Q226" s="35"/>
      <c r="R226" s="35"/>
      <c r="S226" s="35"/>
      <c r="T226" s="35"/>
      <c r="U226" s="35"/>
      <c r="V226" s="35"/>
      <c r="W226" s="35"/>
      <c r="X226" s="35"/>
      <c r="Y226" s="35"/>
      <c r="Z226" s="35"/>
    </row>
    <row r="227" spans="1:26" ht="10.5" customHeight="1" x14ac:dyDescent="0.3">
      <c r="A227" s="35"/>
      <c r="B227" s="35"/>
      <c r="C227" s="35"/>
      <c r="D227" s="35"/>
      <c r="E227" s="35"/>
      <c r="F227" s="35"/>
      <c r="G227" s="35"/>
      <c r="H227" s="35"/>
      <c r="I227" s="35"/>
      <c r="J227" s="35"/>
      <c r="K227" s="35"/>
      <c r="L227" s="35"/>
      <c r="M227" s="35"/>
      <c r="N227" s="36"/>
      <c r="O227" s="35"/>
      <c r="P227" s="35"/>
      <c r="Q227" s="35"/>
      <c r="R227" s="35"/>
      <c r="S227" s="35"/>
      <c r="T227" s="35"/>
      <c r="U227" s="35"/>
      <c r="V227" s="35"/>
      <c r="W227" s="35"/>
      <c r="X227" s="35"/>
      <c r="Y227" s="35"/>
      <c r="Z227" s="35"/>
    </row>
    <row r="228" spans="1:26" ht="10.5" customHeight="1" x14ac:dyDescent="0.3">
      <c r="A228" s="35"/>
      <c r="B228" s="35"/>
      <c r="C228" s="35"/>
      <c r="D228" s="35"/>
      <c r="E228" s="35"/>
      <c r="F228" s="35"/>
      <c r="G228" s="35"/>
      <c r="H228" s="35"/>
      <c r="I228" s="35"/>
      <c r="J228" s="35"/>
      <c r="K228" s="35"/>
      <c r="L228" s="35"/>
      <c r="M228" s="35"/>
      <c r="N228" s="36"/>
      <c r="O228" s="35"/>
      <c r="P228" s="35"/>
      <c r="Q228" s="35"/>
      <c r="R228" s="35"/>
      <c r="S228" s="35"/>
      <c r="T228" s="35"/>
      <c r="U228" s="35"/>
      <c r="V228" s="35"/>
      <c r="W228" s="35"/>
      <c r="X228" s="35"/>
      <c r="Y228" s="35"/>
      <c r="Z228" s="35"/>
    </row>
    <row r="229" spans="1:26" ht="10.5" customHeight="1" x14ac:dyDescent="0.3">
      <c r="A229" s="35"/>
      <c r="B229" s="35"/>
      <c r="C229" s="35"/>
      <c r="D229" s="35"/>
      <c r="E229" s="35"/>
      <c r="F229" s="35"/>
      <c r="G229" s="35"/>
      <c r="H229" s="35"/>
      <c r="I229" s="35"/>
      <c r="J229" s="35"/>
      <c r="K229" s="35"/>
      <c r="L229" s="35"/>
      <c r="M229" s="35"/>
      <c r="N229" s="36"/>
      <c r="O229" s="35"/>
      <c r="P229" s="35"/>
      <c r="Q229" s="35"/>
      <c r="R229" s="35"/>
      <c r="S229" s="35"/>
      <c r="T229" s="35"/>
      <c r="U229" s="35"/>
      <c r="V229" s="35"/>
      <c r="W229" s="35"/>
      <c r="X229" s="35"/>
      <c r="Y229" s="35"/>
      <c r="Z229" s="35"/>
    </row>
    <row r="230" spans="1:26" ht="10.5" customHeight="1" x14ac:dyDescent="0.3">
      <c r="A230" s="35"/>
      <c r="B230" s="35"/>
      <c r="C230" s="35"/>
      <c r="D230" s="35"/>
      <c r="E230" s="35"/>
      <c r="F230" s="35"/>
      <c r="G230" s="35"/>
      <c r="H230" s="35"/>
      <c r="I230" s="35"/>
      <c r="J230" s="35"/>
      <c r="K230" s="35"/>
      <c r="L230" s="35"/>
      <c r="M230" s="35"/>
      <c r="N230" s="36"/>
      <c r="O230" s="35"/>
      <c r="P230" s="35"/>
      <c r="Q230" s="35"/>
      <c r="R230" s="35"/>
      <c r="S230" s="35"/>
      <c r="T230" s="35"/>
      <c r="U230" s="35"/>
      <c r="V230" s="35"/>
      <c r="W230" s="35"/>
      <c r="X230" s="35"/>
      <c r="Y230" s="35"/>
      <c r="Z230" s="35"/>
    </row>
    <row r="231" spans="1:26" ht="10.5" customHeight="1" x14ac:dyDescent="0.3">
      <c r="A231" s="35"/>
      <c r="B231" s="35"/>
      <c r="C231" s="35"/>
      <c r="D231" s="35"/>
      <c r="E231" s="35"/>
      <c r="F231" s="35"/>
      <c r="G231" s="35"/>
      <c r="H231" s="35"/>
      <c r="I231" s="35"/>
      <c r="J231" s="35"/>
      <c r="K231" s="35"/>
      <c r="L231" s="35"/>
      <c r="M231" s="35"/>
      <c r="N231" s="36"/>
      <c r="O231" s="35"/>
      <c r="P231" s="35"/>
      <c r="Q231" s="35"/>
      <c r="R231" s="35"/>
      <c r="S231" s="35"/>
      <c r="T231" s="35"/>
      <c r="U231" s="35"/>
      <c r="V231" s="35"/>
      <c r="W231" s="35"/>
      <c r="X231" s="35"/>
      <c r="Y231" s="35"/>
      <c r="Z231" s="35"/>
    </row>
    <row r="232" spans="1:26" ht="10.5" customHeight="1" x14ac:dyDescent="0.3">
      <c r="A232" s="35"/>
      <c r="B232" s="35"/>
      <c r="C232" s="35"/>
      <c r="D232" s="35"/>
      <c r="E232" s="35"/>
      <c r="F232" s="35"/>
      <c r="G232" s="35"/>
      <c r="H232" s="35"/>
      <c r="I232" s="35"/>
      <c r="J232" s="35"/>
      <c r="K232" s="35"/>
      <c r="L232" s="35"/>
      <c r="M232" s="35"/>
      <c r="N232" s="36"/>
      <c r="O232" s="35"/>
      <c r="P232" s="35"/>
      <c r="Q232" s="35"/>
      <c r="R232" s="35"/>
      <c r="S232" s="35"/>
      <c r="T232" s="35"/>
      <c r="U232" s="35"/>
      <c r="V232" s="35"/>
      <c r="W232" s="35"/>
      <c r="X232" s="35"/>
      <c r="Y232" s="35"/>
      <c r="Z232" s="35"/>
    </row>
    <row r="233" spans="1:26" ht="10.5" customHeight="1" x14ac:dyDescent="0.3">
      <c r="A233" s="35"/>
      <c r="B233" s="35"/>
      <c r="C233" s="35"/>
      <c r="D233" s="35"/>
      <c r="E233" s="35"/>
      <c r="F233" s="35"/>
      <c r="G233" s="35"/>
      <c r="H233" s="35"/>
      <c r="I233" s="35"/>
      <c r="J233" s="35"/>
      <c r="K233" s="35"/>
      <c r="L233" s="35"/>
      <c r="M233" s="35"/>
      <c r="N233" s="36"/>
      <c r="O233" s="35"/>
      <c r="P233" s="35"/>
      <c r="Q233" s="35"/>
      <c r="R233" s="35"/>
      <c r="S233" s="35"/>
      <c r="T233" s="35"/>
      <c r="U233" s="35"/>
      <c r="V233" s="35"/>
      <c r="W233" s="35"/>
      <c r="X233" s="35"/>
      <c r="Y233" s="35"/>
      <c r="Z233" s="35"/>
    </row>
    <row r="234" spans="1:26" ht="10.5" customHeight="1" x14ac:dyDescent="0.3">
      <c r="A234" s="35"/>
      <c r="B234" s="35"/>
      <c r="C234" s="35"/>
      <c r="D234" s="35"/>
      <c r="E234" s="35"/>
      <c r="F234" s="35"/>
      <c r="G234" s="35"/>
      <c r="H234" s="35"/>
      <c r="I234" s="35"/>
      <c r="J234" s="35"/>
      <c r="K234" s="35"/>
      <c r="L234" s="35"/>
      <c r="M234" s="35"/>
      <c r="N234" s="36"/>
      <c r="O234" s="35"/>
      <c r="P234" s="35"/>
      <c r="Q234" s="35"/>
      <c r="R234" s="35"/>
      <c r="S234" s="35"/>
      <c r="T234" s="35"/>
      <c r="U234" s="35"/>
      <c r="V234" s="35"/>
      <c r="W234" s="35"/>
      <c r="X234" s="35"/>
      <c r="Y234" s="35"/>
      <c r="Z234" s="35"/>
    </row>
    <row r="235" spans="1:26" ht="10.5" customHeight="1" x14ac:dyDescent="0.3">
      <c r="A235" s="35"/>
      <c r="B235" s="35"/>
      <c r="C235" s="35"/>
      <c r="D235" s="35"/>
      <c r="E235" s="35"/>
      <c r="F235" s="35"/>
      <c r="G235" s="35"/>
      <c r="H235" s="35"/>
      <c r="I235" s="35"/>
      <c r="J235" s="35"/>
      <c r="K235" s="35"/>
      <c r="L235" s="35"/>
      <c r="M235" s="35"/>
      <c r="N235" s="36"/>
      <c r="O235" s="35"/>
      <c r="P235" s="35"/>
      <c r="Q235" s="35"/>
      <c r="R235" s="35"/>
      <c r="S235" s="35"/>
      <c r="T235" s="35"/>
      <c r="U235" s="35"/>
      <c r="V235" s="35"/>
      <c r="W235" s="35"/>
      <c r="X235" s="35"/>
      <c r="Y235" s="35"/>
      <c r="Z235" s="35"/>
    </row>
    <row r="236" spans="1:26" ht="10.5" customHeight="1" x14ac:dyDescent="0.3">
      <c r="A236" s="35"/>
      <c r="B236" s="35"/>
      <c r="C236" s="35"/>
      <c r="D236" s="35"/>
      <c r="E236" s="35"/>
      <c r="F236" s="35"/>
      <c r="G236" s="35"/>
      <c r="H236" s="35"/>
      <c r="I236" s="35"/>
      <c r="J236" s="35"/>
      <c r="K236" s="35"/>
      <c r="L236" s="35"/>
      <c r="M236" s="35"/>
      <c r="N236" s="36"/>
      <c r="O236" s="35"/>
      <c r="P236" s="35"/>
      <c r="Q236" s="35"/>
      <c r="R236" s="35"/>
      <c r="S236" s="35"/>
      <c r="T236" s="35"/>
      <c r="U236" s="35"/>
      <c r="V236" s="35"/>
      <c r="W236" s="35"/>
      <c r="X236" s="35"/>
      <c r="Y236" s="35"/>
      <c r="Z236" s="35"/>
    </row>
    <row r="237" spans="1:26" ht="10.5" customHeight="1" x14ac:dyDescent="0.3">
      <c r="A237" s="35"/>
      <c r="B237" s="35"/>
      <c r="C237" s="35"/>
      <c r="D237" s="35"/>
      <c r="E237" s="35"/>
      <c r="F237" s="35"/>
      <c r="G237" s="35"/>
      <c r="H237" s="35"/>
      <c r="I237" s="35"/>
      <c r="J237" s="35"/>
      <c r="K237" s="35"/>
      <c r="L237" s="35"/>
      <c r="M237" s="35"/>
      <c r="N237" s="36"/>
      <c r="O237" s="35"/>
      <c r="P237" s="35"/>
      <c r="Q237" s="35"/>
      <c r="R237" s="35"/>
      <c r="S237" s="35"/>
      <c r="T237" s="35"/>
      <c r="U237" s="35"/>
      <c r="V237" s="35"/>
      <c r="W237" s="35"/>
      <c r="X237" s="35"/>
      <c r="Y237" s="35"/>
      <c r="Z237" s="35"/>
    </row>
    <row r="238" spans="1:26" ht="10.5" customHeight="1" x14ac:dyDescent="0.3">
      <c r="A238" s="35"/>
      <c r="B238" s="35"/>
      <c r="C238" s="35"/>
      <c r="D238" s="35"/>
      <c r="E238" s="35"/>
      <c r="F238" s="35"/>
      <c r="G238" s="35"/>
      <c r="H238" s="35"/>
      <c r="I238" s="35"/>
      <c r="J238" s="35"/>
      <c r="K238" s="35"/>
      <c r="L238" s="35"/>
      <c r="M238" s="35"/>
      <c r="N238" s="36"/>
      <c r="O238" s="35"/>
      <c r="P238" s="35"/>
      <c r="Q238" s="35"/>
      <c r="R238" s="35"/>
      <c r="S238" s="35"/>
      <c r="T238" s="35"/>
      <c r="U238" s="35"/>
      <c r="V238" s="35"/>
      <c r="W238" s="35"/>
      <c r="X238" s="35"/>
      <c r="Y238" s="35"/>
      <c r="Z238" s="35"/>
    </row>
    <row r="239" spans="1:26" ht="10.5" customHeight="1" x14ac:dyDescent="0.3">
      <c r="A239" s="35"/>
      <c r="B239" s="35"/>
      <c r="C239" s="35"/>
      <c r="D239" s="35"/>
      <c r="E239" s="35"/>
      <c r="F239" s="35"/>
      <c r="G239" s="35"/>
      <c r="H239" s="35"/>
      <c r="I239" s="35"/>
      <c r="J239" s="35"/>
      <c r="K239" s="35"/>
      <c r="L239" s="35"/>
      <c r="M239" s="35"/>
      <c r="N239" s="36"/>
      <c r="O239" s="35"/>
      <c r="P239" s="35"/>
      <c r="Q239" s="35"/>
      <c r="R239" s="35"/>
      <c r="S239" s="35"/>
      <c r="T239" s="35"/>
      <c r="U239" s="35"/>
      <c r="V239" s="35"/>
      <c r="W239" s="35"/>
      <c r="X239" s="35"/>
      <c r="Y239" s="35"/>
      <c r="Z239" s="35"/>
    </row>
    <row r="240" spans="1:26" ht="10.5" customHeight="1" x14ac:dyDescent="0.3">
      <c r="A240" s="35"/>
      <c r="B240" s="35"/>
      <c r="C240" s="35"/>
      <c r="D240" s="35"/>
      <c r="E240" s="35"/>
      <c r="F240" s="35"/>
      <c r="G240" s="35"/>
      <c r="H240" s="35"/>
      <c r="I240" s="35"/>
      <c r="J240" s="35"/>
      <c r="K240" s="35"/>
      <c r="L240" s="35"/>
      <c r="M240" s="35"/>
      <c r="N240" s="36"/>
      <c r="O240" s="35"/>
      <c r="P240" s="35"/>
      <c r="Q240" s="35"/>
      <c r="R240" s="35"/>
      <c r="S240" s="35"/>
      <c r="T240" s="35"/>
      <c r="U240" s="35"/>
      <c r="V240" s="35"/>
      <c r="W240" s="35"/>
      <c r="X240" s="35"/>
      <c r="Y240" s="35"/>
      <c r="Z240" s="35"/>
    </row>
    <row r="241" spans="1:26" ht="10.5" customHeight="1" x14ac:dyDescent="0.3">
      <c r="A241" s="35"/>
      <c r="B241" s="35"/>
      <c r="C241" s="35"/>
      <c r="D241" s="35"/>
      <c r="E241" s="35"/>
      <c r="F241" s="35"/>
      <c r="G241" s="35"/>
      <c r="H241" s="35"/>
      <c r="I241" s="35"/>
      <c r="J241" s="35"/>
      <c r="K241" s="35"/>
      <c r="L241" s="35"/>
      <c r="M241" s="35"/>
      <c r="N241" s="36"/>
      <c r="O241" s="35"/>
      <c r="P241" s="35"/>
      <c r="Q241" s="35"/>
      <c r="R241" s="35"/>
      <c r="S241" s="35"/>
      <c r="T241" s="35"/>
      <c r="U241" s="35"/>
      <c r="V241" s="35"/>
      <c r="W241" s="35"/>
      <c r="X241" s="35"/>
      <c r="Y241" s="35"/>
      <c r="Z241" s="35"/>
    </row>
    <row r="242" spans="1:26" ht="10.5" customHeight="1" x14ac:dyDescent="0.3">
      <c r="A242" s="35"/>
      <c r="B242" s="35"/>
      <c r="C242" s="35"/>
      <c r="D242" s="35"/>
      <c r="E242" s="35"/>
      <c r="F242" s="35"/>
      <c r="G242" s="35"/>
      <c r="H242" s="35"/>
      <c r="I242" s="35"/>
      <c r="J242" s="35"/>
      <c r="K242" s="35"/>
      <c r="L242" s="35"/>
      <c r="M242" s="35"/>
      <c r="N242" s="36"/>
      <c r="O242" s="35"/>
      <c r="P242" s="35"/>
      <c r="Q242" s="35"/>
      <c r="R242" s="35"/>
      <c r="S242" s="35"/>
      <c r="T242" s="35"/>
      <c r="U242" s="35"/>
      <c r="V242" s="35"/>
      <c r="W242" s="35"/>
      <c r="X242" s="35"/>
      <c r="Y242" s="35"/>
      <c r="Z242" s="35"/>
    </row>
    <row r="243" spans="1:26" ht="10.5" customHeight="1" x14ac:dyDescent="0.3">
      <c r="A243" s="35"/>
      <c r="B243" s="35"/>
      <c r="C243" s="35"/>
      <c r="D243" s="35"/>
      <c r="E243" s="35"/>
      <c r="F243" s="35"/>
      <c r="G243" s="35"/>
      <c r="H243" s="35"/>
      <c r="I243" s="35"/>
      <c r="J243" s="35"/>
      <c r="K243" s="35"/>
      <c r="L243" s="35"/>
      <c r="M243" s="35"/>
      <c r="N243" s="36"/>
      <c r="O243" s="35"/>
      <c r="P243" s="35"/>
      <c r="Q243" s="35"/>
      <c r="R243" s="35"/>
      <c r="S243" s="35"/>
      <c r="T243" s="35"/>
      <c r="U243" s="35"/>
      <c r="V243" s="35"/>
      <c r="W243" s="35"/>
      <c r="X243" s="35"/>
      <c r="Y243" s="35"/>
      <c r="Z243" s="35"/>
    </row>
    <row r="244" spans="1:26" ht="10.5" customHeight="1" x14ac:dyDescent="0.3">
      <c r="A244" s="35"/>
      <c r="B244" s="35"/>
      <c r="C244" s="35"/>
      <c r="D244" s="35"/>
      <c r="E244" s="35"/>
      <c r="F244" s="35"/>
      <c r="G244" s="35"/>
      <c r="H244" s="35"/>
      <c r="I244" s="35"/>
      <c r="J244" s="35"/>
      <c r="K244" s="35"/>
      <c r="L244" s="35"/>
      <c r="M244" s="35"/>
      <c r="N244" s="36"/>
      <c r="O244" s="35"/>
      <c r="P244" s="35"/>
      <c r="Q244" s="35"/>
      <c r="R244" s="35"/>
      <c r="S244" s="35"/>
      <c r="T244" s="35"/>
      <c r="U244" s="35"/>
      <c r="V244" s="35"/>
      <c r="W244" s="35"/>
      <c r="X244" s="35"/>
      <c r="Y244" s="35"/>
      <c r="Z244" s="35"/>
    </row>
    <row r="245" spans="1:26" ht="10.5" customHeight="1" x14ac:dyDescent="0.3">
      <c r="A245" s="35"/>
      <c r="B245" s="35"/>
      <c r="C245" s="35"/>
      <c r="D245" s="35"/>
      <c r="E245" s="35"/>
      <c r="F245" s="35"/>
      <c r="G245" s="35"/>
      <c r="H245" s="35"/>
      <c r="I245" s="35"/>
      <c r="J245" s="35"/>
      <c r="K245" s="35"/>
      <c r="L245" s="35"/>
      <c r="M245" s="35"/>
      <c r="N245" s="36"/>
      <c r="O245" s="35"/>
      <c r="P245" s="35"/>
      <c r="Q245" s="35"/>
      <c r="R245" s="35"/>
      <c r="S245" s="35"/>
      <c r="T245" s="35"/>
      <c r="U245" s="35"/>
      <c r="V245" s="35"/>
      <c r="W245" s="35"/>
      <c r="X245" s="35"/>
      <c r="Y245" s="35"/>
      <c r="Z245" s="35"/>
    </row>
    <row r="246" spans="1:26" ht="15.75" customHeight="1" x14ac:dyDescent="0.3"/>
    <row r="247" spans="1:26" ht="15.75" customHeight="1" x14ac:dyDescent="0.3"/>
    <row r="248" spans="1:26" ht="15.75" customHeight="1" x14ac:dyDescent="0.3"/>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s="29" customFormat="1" ht="15.75" customHeight="1" x14ac:dyDescent="0.3"/>
    <row r="258" s="29" customFormat="1" ht="15.75" customHeight="1" x14ac:dyDescent="0.3"/>
    <row r="259" s="29" customFormat="1" ht="15.75" customHeight="1" x14ac:dyDescent="0.3"/>
    <row r="260" s="29" customFormat="1" ht="15.75" customHeight="1" x14ac:dyDescent="0.3"/>
    <row r="261" s="29" customFormat="1" ht="15.75" customHeight="1" x14ac:dyDescent="0.3"/>
    <row r="262" s="29" customFormat="1" ht="15.75" customHeight="1" x14ac:dyDescent="0.3"/>
    <row r="263" s="29" customFormat="1" ht="15.75" customHeight="1" x14ac:dyDescent="0.3"/>
    <row r="264" s="29" customFormat="1" ht="15.75" customHeight="1" x14ac:dyDescent="0.3"/>
    <row r="265" s="29" customFormat="1" ht="15.75" customHeight="1" x14ac:dyDescent="0.3"/>
    <row r="266" s="29" customFormat="1" ht="15.75" customHeight="1" x14ac:dyDescent="0.3"/>
    <row r="267" s="29" customFormat="1" ht="15.75" customHeight="1" x14ac:dyDescent="0.3"/>
    <row r="268" s="29" customFormat="1" ht="15.75" customHeight="1" x14ac:dyDescent="0.3"/>
    <row r="269" s="29" customFormat="1" ht="15.75" customHeight="1" x14ac:dyDescent="0.3"/>
    <row r="270" s="29" customFormat="1" ht="15.75" customHeight="1" x14ac:dyDescent="0.3"/>
    <row r="271" s="29" customFormat="1" ht="15.75" customHeight="1" x14ac:dyDescent="0.3"/>
    <row r="272" s="29" customFormat="1" ht="15.75" customHeight="1" x14ac:dyDescent="0.3"/>
    <row r="273" s="29" customFormat="1" ht="15.75" customHeight="1" x14ac:dyDescent="0.3"/>
    <row r="274" s="29" customFormat="1" ht="15.75" customHeight="1" x14ac:dyDescent="0.3"/>
    <row r="275" s="29" customFormat="1" ht="15.75" customHeight="1" x14ac:dyDescent="0.3"/>
    <row r="276" s="29" customFormat="1" ht="15.75" customHeight="1" x14ac:dyDescent="0.3"/>
    <row r="277" s="29" customFormat="1" ht="15.75" customHeight="1" x14ac:dyDescent="0.3"/>
    <row r="278" s="29" customFormat="1" ht="15.75" customHeight="1" x14ac:dyDescent="0.3"/>
    <row r="279" s="29" customFormat="1" ht="15.75" customHeight="1" x14ac:dyDescent="0.3"/>
    <row r="280" s="29" customFormat="1" ht="15.75" customHeight="1" x14ac:dyDescent="0.3"/>
    <row r="281" s="29" customFormat="1" ht="15.75" customHeight="1" x14ac:dyDescent="0.3"/>
    <row r="282" s="29" customFormat="1" ht="15.75" customHeight="1" x14ac:dyDescent="0.3"/>
    <row r="283" s="29" customFormat="1" ht="15.75" customHeight="1" x14ac:dyDescent="0.3"/>
    <row r="284" s="29" customFormat="1" ht="15.75" customHeight="1" x14ac:dyDescent="0.3"/>
    <row r="285" s="29" customFormat="1" ht="15.75" customHeight="1" x14ac:dyDescent="0.3"/>
    <row r="286" s="29" customFormat="1" ht="15.75" customHeight="1" x14ac:dyDescent="0.3"/>
    <row r="287" s="29" customFormat="1" ht="15.75" customHeight="1" x14ac:dyDescent="0.3"/>
    <row r="288" s="29" customFormat="1" ht="15.75" customHeight="1" x14ac:dyDescent="0.3"/>
    <row r="289" s="29" customFormat="1" ht="15.75" customHeight="1" x14ac:dyDescent="0.3"/>
    <row r="290" s="29" customFormat="1" ht="15.75" customHeight="1" x14ac:dyDescent="0.3"/>
    <row r="291" s="29" customFormat="1" ht="15.75" customHeight="1" x14ac:dyDescent="0.3"/>
    <row r="292" s="29" customFormat="1" ht="15.75" customHeight="1" x14ac:dyDescent="0.3"/>
    <row r="293" s="29" customFormat="1" ht="15.75" customHeight="1" x14ac:dyDescent="0.3"/>
    <row r="294" s="29" customFormat="1" ht="15.75" customHeight="1" x14ac:dyDescent="0.3"/>
    <row r="295" s="29" customFormat="1" ht="15.75" customHeight="1" x14ac:dyDescent="0.3"/>
    <row r="296" s="29" customFormat="1" ht="15.75" customHeight="1" x14ac:dyDescent="0.3"/>
    <row r="297" s="29" customFormat="1" ht="15.75" customHeight="1" x14ac:dyDescent="0.3"/>
    <row r="298" s="29" customFormat="1" ht="15.75" customHeight="1" x14ac:dyDescent="0.3"/>
    <row r="299" s="29" customFormat="1" ht="15.75" customHeight="1" x14ac:dyDescent="0.3"/>
    <row r="300" s="29" customFormat="1" ht="15.75" customHeight="1" x14ac:dyDescent="0.3"/>
    <row r="301" s="29" customFormat="1" ht="15.75" customHeight="1" x14ac:dyDescent="0.3"/>
    <row r="302" s="29" customFormat="1" ht="15.75" customHeight="1" x14ac:dyDescent="0.3"/>
    <row r="303" s="29" customFormat="1" ht="15.75" customHeight="1" x14ac:dyDescent="0.3"/>
    <row r="304" s="29" customFormat="1" ht="15.75" customHeight="1" x14ac:dyDescent="0.3"/>
    <row r="305" s="29" customFormat="1" ht="15.75" customHeight="1" x14ac:dyDescent="0.3"/>
    <row r="306" s="29" customFormat="1" ht="15.75" customHeight="1" x14ac:dyDescent="0.3"/>
    <row r="307" s="29" customFormat="1" ht="15.75" customHeight="1" x14ac:dyDescent="0.3"/>
    <row r="308" s="29" customFormat="1" ht="15.75" customHeight="1" x14ac:dyDescent="0.3"/>
    <row r="309" s="29" customFormat="1" ht="15.75" customHeight="1" x14ac:dyDescent="0.3"/>
    <row r="310" s="29" customFormat="1" ht="15.75" customHeight="1" x14ac:dyDescent="0.3"/>
    <row r="311" s="29" customFormat="1" ht="15.75" customHeight="1" x14ac:dyDescent="0.3"/>
    <row r="312" s="29" customFormat="1" ht="15.75" customHeight="1" x14ac:dyDescent="0.3"/>
    <row r="313" s="29" customFormat="1" ht="15.75" customHeight="1" x14ac:dyDescent="0.3"/>
    <row r="314" s="29" customFormat="1" ht="15.75" customHeight="1" x14ac:dyDescent="0.3"/>
    <row r="315" s="29" customFormat="1" ht="15.75" customHeight="1" x14ac:dyDescent="0.3"/>
    <row r="316" s="29" customFormat="1" ht="15.75" customHeight="1" x14ac:dyDescent="0.3"/>
    <row r="317" s="29" customFormat="1" ht="15.75" customHeight="1" x14ac:dyDescent="0.3"/>
    <row r="318" s="29" customFormat="1" ht="15.75" customHeight="1" x14ac:dyDescent="0.3"/>
    <row r="319" s="29" customFormat="1" ht="15.75" customHeight="1" x14ac:dyDescent="0.3"/>
    <row r="320" s="29" customFormat="1" ht="15.75" customHeight="1" x14ac:dyDescent="0.3"/>
    <row r="321" s="29" customFormat="1" ht="15.75" customHeight="1" x14ac:dyDescent="0.3"/>
    <row r="322" s="29" customFormat="1" ht="15.75" customHeight="1" x14ac:dyDescent="0.3"/>
    <row r="323" s="29" customFormat="1" ht="15.75" customHeight="1" x14ac:dyDescent="0.3"/>
    <row r="324" s="29" customFormat="1" ht="15.75" customHeight="1" x14ac:dyDescent="0.3"/>
    <row r="325" s="29" customFormat="1" ht="15.75" customHeight="1" x14ac:dyDescent="0.3"/>
    <row r="326" s="29" customFormat="1" ht="15.75" customHeight="1" x14ac:dyDescent="0.3"/>
    <row r="327" s="29" customFormat="1" ht="15.75" customHeight="1" x14ac:dyDescent="0.3"/>
    <row r="328" s="29" customFormat="1" ht="15.75" customHeight="1" x14ac:dyDescent="0.3"/>
    <row r="329" s="29" customFormat="1" ht="15.75" customHeight="1" x14ac:dyDescent="0.3"/>
    <row r="330" s="29" customFormat="1" ht="15.75" customHeight="1" x14ac:dyDescent="0.3"/>
    <row r="331" s="29" customFormat="1" ht="15.75" customHeight="1" x14ac:dyDescent="0.3"/>
    <row r="332" s="29" customFormat="1" ht="15.75" customHeight="1" x14ac:dyDescent="0.3"/>
    <row r="333" s="29" customFormat="1" ht="15.75" customHeight="1" x14ac:dyDescent="0.3"/>
    <row r="334" s="29" customFormat="1" ht="15.75" customHeight="1" x14ac:dyDescent="0.3"/>
    <row r="335" s="29" customFormat="1" ht="15.75" customHeight="1" x14ac:dyDescent="0.3"/>
    <row r="336" s="29" customFormat="1" ht="15.75" customHeight="1" x14ac:dyDescent="0.3"/>
    <row r="337" s="29" customFormat="1" ht="15.75" customHeight="1" x14ac:dyDescent="0.3"/>
    <row r="338" s="29" customFormat="1" ht="15.75" customHeight="1" x14ac:dyDescent="0.3"/>
    <row r="339" s="29" customFormat="1" ht="15.75" customHeight="1" x14ac:dyDescent="0.3"/>
    <row r="340" s="29" customFormat="1" ht="15.75" customHeight="1" x14ac:dyDescent="0.3"/>
    <row r="341" s="29" customFormat="1" ht="15.75" customHeight="1" x14ac:dyDescent="0.3"/>
    <row r="342" s="29" customFormat="1" ht="15.75" customHeight="1" x14ac:dyDescent="0.3"/>
    <row r="343" s="29" customFormat="1" ht="15.75" customHeight="1" x14ac:dyDescent="0.3"/>
    <row r="344" s="29" customFormat="1" ht="15.75" customHeight="1" x14ac:dyDescent="0.3"/>
    <row r="345" s="29" customFormat="1" ht="15.75" customHeight="1" x14ac:dyDescent="0.3"/>
    <row r="346" s="29" customFormat="1" ht="15.75" customHeight="1" x14ac:dyDescent="0.3"/>
    <row r="347" s="29" customFormat="1" ht="15.75" customHeight="1" x14ac:dyDescent="0.3"/>
    <row r="348" s="29" customFormat="1" ht="15.75" customHeight="1" x14ac:dyDescent="0.3"/>
    <row r="349" s="29" customFormat="1" ht="15.75" customHeight="1" x14ac:dyDescent="0.3"/>
    <row r="350" s="29" customFormat="1" ht="15.75" customHeight="1" x14ac:dyDescent="0.3"/>
    <row r="351" s="29" customFormat="1" ht="15.75" customHeight="1" x14ac:dyDescent="0.3"/>
    <row r="352" s="29" customFormat="1" ht="15.75" customHeight="1" x14ac:dyDescent="0.3"/>
    <row r="353" s="29" customFormat="1" ht="15.75" customHeight="1" x14ac:dyDescent="0.3"/>
    <row r="354" s="29" customFormat="1" ht="15.75" customHeight="1" x14ac:dyDescent="0.3"/>
    <row r="355" s="29" customFormat="1" ht="15.75" customHeight="1" x14ac:dyDescent="0.3"/>
    <row r="356" s="29" customFormat="1" ht="15.75" customHeight="1" x14ac:dyDescent="0.3"/>
    <row r="357" s="29" customFormat="1" ht="15.75" customHeight="1" x14ac:dyDescent="0.3"/>
    <row r="358" s="29" customFormat="1" ht="15.75" customHeight="1" x14ac:dyDescent="0.3"/>
    <row r="359" s="29" customFormat="1" ht="15.75" customHeight="1" x14ac:dyDescent="0.3"/>
    <row r="360" s="29" customFormat="1" ht="15.75" customHeight="1" x14ac:dyDescent="0.3"/>
    <row r="361" s="29" customFormat="1" ht="15.75" customHeight="1" x14ac:dyDescent="0.3"/>
    <row r="362" s="29" customFormat="1" ht="15.75" customHeight="1" x14ac:dyDescent="0.3"/>
    <row r="363" s="29" customFormat="1" ht="15.75" customHeight="1" x14ac:dyDescent="0.3"/>
    <row r="364" s="29" customFormat="1" ht="15.75" customHeight="1" x14ac:dyDescent="0.3"/>
    <row r="365" s="29" customFormat="1" ht="15.75" customHeight="1" x14ac:dyDescent="0.3"/>
    <row r="366" s="29" customFormat="1" ht="15.75" customHeight="1" x14ac:dyDescent="0.3"/>
    <row r="367" s="29" customFormat="1" ht="15.75" customHeight="1" x14ac:dyDescent="0.3"/>
    <row r="368" s="29" customFormat="1" ht="15.75" customHeight="1" x14ac:dyDescent="0.3"/>
    <row r="369" s="29" customFormat="1" ht="15.75" customHeight="1" x14ac:dyDescent="0.3"/>
    <row r="370" s="29" customFormat="1" ht="15.75" customHeight="1" x14ac:dyDescent="0.3"/>
    <row r="371" s="29" customFormat="1" ht="15.75" customHeight="1" x14ac:dyDescent="0.3"/>
    <row r="372" s="29" customFormat="1" ht="15.75" customHeight="1" x14ac:dyDescent="0.3"/>
    <row r="373" s="29" customFormat="1" ht="15.75" customHeight="1" x14ac:dyDescent="0.3"/>
    <row r="374" s="29" customFormat="1" ht="15.75" customHeight="1" x14ac:dyDescent="0.3"/>
    <row r="375" s="29" customFormat="1" ht="15.75" customHeight="1" x14ac:dyDescent="0.3"/>
    <row r="376" s="29" customFormat="1" ht="15.75" customHeight="1" x14ac:dyDescent="0.3"/>
    <row r="377" s="29" customFormat="1" ht="15.75" customHeight="1" x14ac:dyDescent="0.3"/>
    <row r="378" s="29" customFormat="1" ht="15.75" customHeight="1" x14ac:dyDescent="0.3"/>
    <row r="379" s="29" customFormat="1" ht="15.75" customHeight="1" x14ac:dyDescent="0.3"/>
    <row r="380" s="29" customFormat="1" ht="15.75" customHeight="1" x14ac:dyDescent="0.3"/>
    <row r="381" s="29" customFormat="1" ht="15.75" customHeight="1" x14ac:dyDescent="0.3"/>
    <row r="382" s="29" customFormat="1" ht="15.75" customHeight="1" x14ac:dyDescent="0.3"/>
    <row r="383" s="29" customFormat="1" ht="15.75" customHeight="1" x14ac:dyDescent="0.3"/>
    <row r="384" s="29" customFormat="1" ht="15.75" customHeight="1" x14ac:dyDescent="0.3"/>
    <row r="385" s="29" customFormat="1" ht="15.75" customHeight="1" x14ac:dyDescent="0.3"/>
    <row r="386" s="29" customFormat="1" ht="15.75" customHeight="1" x14ac:dyDescent="0.3"/>
    <row r="387" s="29" customFormat="1" ht="15.75" customHeight="1" x14ac:dyDescent="0.3"/>
    <row r="388" s="29" customFormat="1" ht="15.75" customHeight="1" x14ac:dyDescent="0.3"/>
    <row r="389" s="29" customFormat="1" ht="15.75" customHeight="1" x14ac:dyDescent="0.3"/>
    <row r="390" s="29" customFormat="1" ht="15.75" customHeight="1" x14ac:dyDescent="0.3"/>
    <row r="391" s="29" customFormat="1" ht="15.75" customHeight="1" x14ac:dyDescent="0.3"/>
    <row r="392" s="29" customFormat="1" ht="15.75" customHeight="1" x14ac:dyDescent="0.3"/>
    <row r="393" s="29" customFormat="1" ht="15.75" customHeight="1" x14ac:dyDescent="0.3"/>
    <row r="394" s="29" customFormat="1" ht="15.75" customHeight="1" x14ac:dyDescent="0.3"/>
    <row r="395" s="29" customFormat="1" ht="15.75" customHeight="1" x14ac:dyDescent="0.3"/>
    <row r="396" s="29" customFormat="1" ht="15.75" customHeight="1" x14ac:dyDescent="0.3"/>
    <row r="397" s="29" customFormat="1" ht="15.75" customHeight="1" x14ac:dyDescent="0.3"/>
    <row r="398" s="29" customFormat="1" ht="15.75" customHeight="1" x14ac:dyDescent="0.3"/>
    <row r="399" s="29" customFormat="1" ht="15.75" customHeight="1" x14ac:dyDescent="0.3"/>
    <row r="400" s="29" customFormat="1" ht="15.75" customHeight="1" x14ac:dyDescent="0.3"/>
    <row r="401" s="29" customFormat="1" ht="15.75" customHeight="1" x14ac:dyDescent="0.3"/>
    <row r="402" s="29" customFormat="1" ht="15.75" customHeight="1" x14ac:dyDescent="0.3"/>
    <row r="403" s="29" customFormat="1" ht="15.75" customHeight="1" x14ac:dyDescent="0.3"/>
    <row r="404" s="29" customFormat="1" ht="15.75" customHeight="1" x14ac:dyDescent="0.3"/>
    <row r="405" s="29" customFormat="1" ht="15.75" customHeight="1" x14ac:dyDescent="0.3"/>
    <row r="406" s="29" customFormat="1" ht="15.75" customHeight="1" x14ac:dyDescent="0.3"/>
    <row r="407" s="29" customFormat="1" ht="15.75" customHeight="1" x14ac:dyDescent="0.3"/>
    <row r="408" s="29" customFormat="1" ht="15.75" customHeight="1" x14ac:dyDescent="0.3"/>
    <row r="409" s="29" customFormat="1" ht="15.75" customHeight="1" x14ac:dyDescent="0.3"/>
    <row r="410" s="29" customFormat="1" ht="15.75" customHeight="1" x14ac:dyDescent="0.3"/>
    <row r="411" s="29" customFormat="1" ht="15.75" customHeight="1" x14ac:dyDescent="0.3"/>
    <row r="412" s="29" customFormat="1" ht="15.75" customHeight="1" x14ac:dyDescent="0.3"/>
    <row r="413" s="29" customFormat="1" ht="15.75" customHeight="1" x14ac:dyDescent="0.3"/>
    <row r="414" s="29" customFormat="1" ht="15.75" customHeight="1" x14ac:dyDescent="0.3"/>
    <row r="415" s="29" customFormat="1" ht="15.75" customHeight="1" x14ac:dyDescent="0.3"/>
    <row r="416" s="29" customFormat="1" ht="15.75" customHeight="1" x14ac:dyDescent="0.3"/>
    <row r="417" s="29" customFormat="1" ht="15.75" customHeight="1" x14ac:dyDescent="0.3"/>
    <row r="418" s="29" customFormat="1" ht="15.75" customHeight="1" x14ac:dyDescent="0.3"/>
    <row r="419" s="29" customFormat="1" ht="15.75" customHeight="1" x14ac:dyDescent="0.3"/>
    <row r="420" s="29" customFormat="1" ht="15.75" customHeight="1" x14ac:dyDescent="0.3"/>
    <row r="421" s="29" customFormat="1" ht="15.75" customHeight="1" x14ac:dyDescent="0.3"/>
    <row r="422" s="29" customFormat="1" ht="15.75" customHeight="1" x14ac:dyDescent="0.3"/>
    <row r="423" s="29" customFormat="1" ht="15.75" customHeight="1" x14ac:dyDescent="0.3"/>
    <row r="424" s="29" customFormat="1" ht="15.75" customHeight="1" x14ac:dyDescent="0.3"/>
    <row r="425" s="29" customFormat="1" ht="15.75" customHeight="1" x14ac:dyDescent="0.3"/>
    <row r="426" s="29" customFormat="1" ht="15.75" customHeight="1" x14ac:dyDescent="0.3"/>
    <row r="427" s="29" customFormat="1" ht="15.75" customHeight="1" x14ac:dyDescent="0.3"/>
    <row r="428" s="29" customFormat="1" ht="15.75" customHeight="1" x14ac:dyDescent="0.3"/>
    <row r="429" s="29" customFormat="1" ht="15.75" customHeight="1" x14ac:dyDescent="0.3"/>
    <row r="430" s="29" customFormat="1" ht="15.75" customHeight="1" x14ac:dyDescent="0.3"/>
    <row r="431" s="29" customFormat="1" ht="15.75" customHeight="1" x14ac:dyDescent="0.3"/>
    <row r="432" s="29" customFormat="1" ht="15.75" customHeight="1" x14ac:dyDescent="0.3"/>
    <row r="433" s="29" customFormat="1" ht="15.75" customHeight="1" x14ac:dyDescent="0.3"/>
    <row r="434" s="29" customFormat="1" ht="15.75" customHeight="1" x14ac:dyDescent="0.3"/>
    <row r="435" s="29" customFormat="1" ht="15.75" customHeight="1" x14ac:dyDescent="0.3"/>
    <row r="436" s="29" customFormat="1" ht="15.75" customHeight="1" x14ac:dyDescent="0.3"/>
    <row r="437" s="29" customFormat="1" ht="15.75" customHeight="1" x14ac:dyDescent="0.3"/>
    <row r="438" s="29" customFormat="1" ht="15.75" customHeight="1" x14ac:dyDescent="0.3"/>
    <row r="439" s="29" customFormat="1" ht="15.75" customHeight="1" x14ac:dyDescent="0.3"/>
    <row r="440" s="29" customFormat="1" ht="15.75" customHeight="1" x14ac:dyDescent="0.3"/>
    <row r="441" s="29" customFormat="1" ht="15.75" customHeight="1" x14ac:dyDescent="0.3"/>
    <row r="442" s="29" customFormat="1" ht="15.75" customHeight="1" x14ac:dyDescent="0.3"/>
    <row r="443" s="29" customFormat="1" ht="15.75" customHeight="1" x14ac:dyDescent="0.3"/>
    <row r="444" s="29" customFormat="1" ht="15.75" customHeight="1" x14ac:dyDescent="0.3"/>
    <row r="445" s="29" customFormat="1" ht="15.75" customHeight="1" x14ac:dyDescent="0.3"/>
    <row r="446" s="29" customFormat="1" ht="15.75" customHeight="1" x14ac:dyDescent="0.3"/>
    <row r="447" s="29" customFormat="1" ht="15.75" customHeight="1" x14ac:dyDescent="0.3"/>
    <row r="448" s="29" customFormat="1" ht="15.75" customHeight="1" x14ac:dyDescent="0.3"/>
    <row r="449" s="29" customFormat="1" ht="15.75" customHeight="1" x14ac:dyDescent="0.3"/>
    <row r="450" s="29" customFormat="1" ht="15.75" customHeight="1" x14ac:dyDescent="0.3"/>
    <row r="451" s="29" customFormat="1" ht="15.75" customHeight="1" x14ac:dyDescent="0.3"/>
    <row r="452" s="29" customFormat="1" ht="15.75" customHeight="1" x14ac:dyDescent="0.3"/>
    <row r="453" s="29" customFormat="1" ht="15.75" customHeight="1" x14ac:dyDescent="0.3"/>
    <row r="454" s="29" customFormat="1" ht="15.75" customHeight="1" x14ac:dyDescent="0.3"/>
    <row r="455" s="29" customFormat="1" ht="15.75" customHeight="1" x14ac:dyDescent="0.3"/>
    <row r="456" s="29" customFormat="1" ht="15.75" customHeight="1" x14ac:dyDescent="0.3"/>
    <row r="457" s="29" customFormat="1" ht="15.75" customHeight="1" x14ac:dyDescent="0.3"/>
    <row r="458" s="29" customFormat="1" ht="15.75" customHeight="1" x14ac:dyDescent="0.3"/>
    <row r="459" s="29" customFormat="1" ht="15.75" customHeight="1" x14ac:dyDescent="0.3"/>
    <row r="460" s="29" customFormat="1" ht="15.75" customHeight="1" x14ac:dyDescent="0.3"/>
    <row r="461" s="29" customFormat="1" ht="15.75" customHeight="1" x14ac:dyDescent="0.3"/>
    <row r="462" s="29" customFormat="1" ht="15.75" customHeight="1" x14ac:dyDescent="0.3"/>
    <row r="463" s="29" customFormat="1" ht="15.75" customHeight="1" x14ac:dyDescent="0.3"/>
    <row r="464" s="29" customFormat="1" ht="15.75" customHeight="1" x14ac:dyDescent="0.3"/>
    <row r="465" s="29" customFormat="1" ht="15.75" customHeight="1" x14ac:dyDescent="0.3"/>
    <row r="466" s="29" customFormat="1" ht="15.75" customHeight="1" x14ac:dyDescent="0.3"/>
    <row r="467" s="29" customFormat="1" ht="15.75" customHeight="1" x14ac:dyDescent="0.3"/>
    <row r="468" s="29" customFormat="1" ht="15.75" customHeight="1" x14ac:dyDescent="0.3"/>
    <row r="469" s="29" customFormat="1" ht="15.75" customHeight="1" x14ac:dyDescent="0.3"/>
    <row r="470" s="29" customFormat="1" ht="15.75" customHeight="1" x14ac:dyDescent="0.3"/>
    <row r="471" s="29" customFormat="1" ht="15.75" customHeight="1" x14ac:dyDescent="0.3"/>
    <row r="472" s="29" customFormat="1" ht="15.75" customHeight="1" x14ac:dyDescent="0.3"/>
    <row r="473" s="29" customFormat="1" ht="15.75" customHeight="1" x14ac:dyDescent="0.3"/>
    <row r="474" s="29" customFormat="1" ht="15.75" customHeight="1" x14ac:dyDescent="0.3"/>
    <row r="475" s="29" customFormat="1" ht="15.75" customHeight="1" x14ac:dyDescent="0.3"/>
    <row r="476" s="29" customFormat="1" ht="15.75" customHeight="1" x14ac:dyDescent="0.3"/>
    <row r="477" s="29" customFormat="1" ht="15.75" customHeight="1" x14ac:dyDescent="0.3"/>
    <row r="478" s="29" customFormat="1" ht="15.75" customHeight="1" x14ac:dyDescent="0.3"/>
    <row r="479" s="29" customFormat="1" ht="15.75" customHeight="1" x14ac:dyDescent="0.3"/>
    <row r="480" s="29" customFormat="1" ht="15.75" customHeight="1" x14ac:dyDescent="0.3"/>
    <row r="481" s="29" customFormat="1" ht="15.75" customHeight="1" x14ac:dyDescent="0.3"/>
    <row r="482" s="29" customFormat="1" ht="15.75" customHeight="1" x14ac:dyDescent="0.3"/>
    <row r="483" s="29" customFormat="1" ht="15.75" customHeight="1" x14ac:dyDescent="0.3"/>
    <row r="484" s="29" customFormat="1" ht="15.75" customHeight="1" x14ac:dyDescent="0.3"/>
    <row r="485" s="29" customFormat="1" ht="15.75" customHeight="1" x14ac:dyDescent="0.3"/>
    <row r="486" s="29" customFormat="1" ht="15.75" customHeight="1" x14ac:dyDescent="0.3"/>
    <row r="487" s="29" customFormat="1" ht="15.75" customHeight="1" x14ac:dyDescent="0.3"/>
    <row r="488" s="29" customFormat="1" ht="15.75" customHeight="1" x14ac:dyDescent="0.3"/>
    <row r="489" s="29" customFormat="1" ht="15.75" customHeight="1" x14ac:dyDescent="0.3"/>
    <row r="490" s="29" customFormat="1" ht="15.75" customHeight="1" x14ac:dyDescent="0.3"/>
    <row r="491" s="29" customFormat="1" ht="15.75" customHeight="1" x14ac:dyDescent="0.3"/>
    <row r="492" s="29" customFormat="1" ht="15.75" customHeight="1" x14ac:dyDescent="0.3"/>
    <row r="493" s="29" customFormat="1" ht="15.75" customHeight="1" x14ac:dyDescent="0.3"/>
    <row r="494" s="29" customFormat="1" ht="15.75" customHeight="1" x14ac:dyDescent="0.3"/>
    <row r="495" s="29" customFormat="1" ht="15.75" customHeight="1" x14ac:dyDescent="0.3"/>
    <row r="496" s="29" customFormat="1" ht="15.75" customHeight="1" x14ac:dyDescent="0.3"/>
    <row r="497" s="29" customFormat="1" ht="15.75" customHeight="1" x14ac:dyDescent="0.3"/>
    <row r="498" s="29" customFormat="1" ht="15.75" customHeight="1" x14ac:dyDescent="0.3"/>
    <row r="499" s="29" customFormat="1" ht="15.75" customHeight="1" x14ac:dyDescent="0.3"/>
    <row r="500" s="29" customFormat="1" ht="15.75" customHeight="1" x14ac:dyDescent="0.3"/>
    <row r="501" s="29" customFormat="1" ht="15.75" customHeight="1" x14ac:dyDescent="0.3"/>
    <row r="502" s="29" customFormat="1" ht="15.75" customHeight="1" x14ac:dyDescent="0.3"/>
    <row r="503" s="29" customFormat="1" ht="15.75" customHeight="1" x14ac:dyDescent="0.3"/>
    <row r="504" s="29" customFormat="1" ht="15.75" customHeight="1" x14ac:dyDescent="0.3"/>
    <row r="505" s="29" customFormat="1" ht="15.75" customHeight="1" x14ac:dyDescent="0.3"/>
    <row r="506" s="29" customFormat="1" ht="15.75" customHeight="1" x14ac:dyDescent="0.3"/>
    <row r="507" s="29" customFormat="1" ht="15.75" customHeight="1" x14ac:dyDescent="0.3"/>
    <row r="508" s="29" customFormat="1" ht="15.75" customHeight="1" x14ac:dyDescent="0.3"/>
    <row r="509" s="29" customFormat="1" ht="15.75" customHeight="1" x14ac:dyDescent="0.3"/>
    <row r="510" s="29" customFormat="1" ht="15.75" customHeight="1" x14ac:dyDescent="0.3"/>
    <row r="511" s="29" customFormat="1" ht="15.75" customHeight="1" x14ac:dyDescent="0.3"/>
    <row r="512" s="29" customFormat="1" ht="15.75" customHeight="1" x14ac:dyDescent="0.3"/>
    <row r="513" s="29" customFormat="1" ht="15.75" customHeight="1" x14ac:dyDescent="0.3"/>
    <row r="514" s="29" customFormat="1" ht="15.75" customHeight="1" x14ac:dyDescent="0.3"/>
    <row r="515" s="29" customFormat="1" ht="15.75" customHeight="1" x14ac:dyDescent="0.3"/>
    <row r="516" s="29" customFormat="1" ht="15.75" customHeight="1" x14ac:dyDescent="0.3"/>
    <row r="517" s="29" customFormat="1" ht="15.75" customHeight="1" x14ac:dyDescent="0.3"/>
    <row r="518" s="29" customFormat="1" ht="15.75" customHeight="1" x14ac:dyDescent="0.3"/>
    <row r="519" s="29" customFormat="1" ht="15.75" customHeight="1" x14ac:dyDescent="0.3"/>
    <row r="520" s="29" customFormat="1" ht="15.75" customHeight="1" x14ac:dyDescent="0.3"/>
    <row r="521" s="29" customFormat="1" ht="15.75" customHeight="1" x14ac:dyDescent="0.3"/>
    <row r="522" s="29" customFormat="1" ht="15.75" customHeight="1" x14ac:dyDescent="0.3"/>
    <row r="523" s="29" customFormat="1" ht="15.75" customHeight="1" x14ac:dyDescent="0.3"/>
    <row r="524" s="29" customFormat="1" ht="15.75" customHeight="1" x14ac:dyDescent="0.3"/>
    <row r="525" s="29" customFormat="1" ht="15.75" customHeight="1" x14ac:dyDescent="0.3"/>
    <row r="526" s="29" customFormat="1" ht="15.75" customHeight="1" x14ac:dyDescent="0.3"/>
    <row r="527" s="29" customFormat="1" ht="15.75" customHeight="1" x14ac:dyDescent="0.3"/>
    <row r="528" s="29" customFormat="1" ht="15.75" customHeight="1" x14ac:dyDescent="0.3"/>
    <row r="529" s="29" customFormat="1" ht="15.75" customHeight="1" x14ac:dyDescent="0.3"/>
    <row r="530" s="29" customFormat="1" ht="15.75" customHeight="1" x14ac:dyDescent="0.3"/>
    <row r="531" s="29" customFormat="1" ht="15.75" customHeight="1" x14ac:dyDescent="0.3"/>
    <row r="532" s="29" customFormat="1" ht="15.75" customHeight="1" x14ac:dyDescent="0.3"/>
    <row r="533" s="29" customFormat="1" ht="15.75" customHeight="1" x14ac:dyDescent="0.3"/>
    <row r="534" s="29" customFormat="1" ht="15.75" customHeight="1" x14ac:dyDescent="0.3"/>
    <row r="535" s="29" customFormat="1" ht="15.75" customHeight="1" x14ac:dyDescent="0.3"/>
    <row r="536" s="29" customFormat="1" ht="15.75" customHeight="1" x14ac:dyDescent="0.3"/>
    <row r="537" s="29" customFormat="1" ht="15.75" customHeight="1" x14ac:dyDescent="0.3"/>
    <row r="538" s="29" customFormat="1" ht="15.75" customHeight="1" x14ac:dyDescent="0.3"/>
    <row r="539" s="29" customFormat="1" ht="15.75" customHeight="1" x14ac:dyDescent="0.3"/>
    <row r="540" s="29" customFormat="1" ht="15.75" customHeight="1" x14ac:dyDescent="0.3"/>
    <row r="541" s="29" customFormat="1" ht="15.75" customHeight="1" x14ac:dyDescent="0.3"/>
    <row r="542" s="29" customFormat="1" ht="15.75" customHeight="1" x14ac:dyDescent="0.3"/>
    <row r="543" s="29" customFormat="1" ht="15.75" customHeight="1" x14ac:dyDescent="0.3"/>
    <row r="544" s="29" customFormat="1" ht="15.75" customHeight="1" x14ac:dyDescent="0.3"/>
    <row r="545" s="29" customFormat="1" ht="15.75" customHeight="1" x14ac:dyDescent="0.3"/>
    <row r="546" s="29" customFormat="1" ht="15.75" customHeight="1" x14ac:dyDescent="0.3"/>
    <row r="547" s="29" customFormat="1" ht="15.75" customHeight="1" x14ac:dyDescent="0.3"/>
    <row r="548" s="29" customFormat="1" ht="15.75" customHeight="1" x14ac:dyDescent="0.3"/>
    <row r="549" s="29" customFormat="1" ht="15.75" customHeight="1" x14ac:dyDescent="0.3"/>
    <row r="550" s="29" customFormat="1" ht="15.75" customHeight="1" x14ac:dyDescent="0.3"/>
    <row r="551" s="29" customFormat="1" ht="15.75" customHeight="1" x14ac:dyDescent="0.3"/>
    <row r="552" s="29" customFormat="1" ht="15.75" customHeight="1" x14ac:dyDescent="0.3"/>
    <row r="553" s="29" customFormat="1" ht="15.75" customHeight="1" x14ac:dyDescent="0.3"/>
    <row r="554" s="29" customFormat="1" ht="15.75" customHeight="1" x14ac:dyDescent="0.3"/>
    <row r="555" s="29" customFormat="1" ht="15.75" customHeight="1" x14ac:dyDescent="0.3"/>
    <row r="556" s="29" customFormat="1" ht="15.75" customHeight="1" x14ac:dyDescent="0.3"/>
    <row r="557" s="29" customFormat="1" ht="15.75" customHeight="1" x14ac:dyDescent="0.3"/>
    <row r="558" s="29" customFormat="1" ht="15.75" customHeight="1" x14ac:dyDescent="0.3"/>
    <row r="559" s="29" customFormat="1" ht="15.75" customHeight="1" x14ac:dyDescent="0.3"/>
    <row r="560" s="29" customFormat="1" ht="15.75" customHeight="1" x14ac:dyDescent="0.3"/>
    <row r="561" s="29" customFormat="1" ht="15.75" customHeight="1" x14ac:dyDescent="0.3"/>
    <row r="562" s="29" customFormat="1" ht="15.75" customHeight="1" x14ac:dyDescent="0.3"/>
    <row r="563" s="29" customFormat="1" ht="15.75" customHeight="1" x14ac:dyDescent="0.3"/>
    <row r="564" s="29" customFormat="1" ht="15.75" customHeight="1" x14ac:dyDescent="0.3"/>
    <row r="565" s="29" customFormat="1" ht="15.75" customHeight="1" x14ac:dyDescent="0.3"/>
    <row r="566" s="29" customFormat="1" ht="15.75" customHeight="1" x14ac:dyDescent="0.3"/>
    <row r="567" s="29" customFormat="1" ht="15.75" customHeight="1" x14ac:dyDescent="0.3"/>
    <row r="568" s="29" customFormat="1" ht="15.75" customHeight="1" x14ac:dyDescent="0.3"/>
    <row r="569" s="29" customFormat="1" ht="15.75" customHeight="1" x14ac:dyDescent="0.3"/>
    <row r="570" s="29" customFormat="1" ht="15.75" customHeight="1" x14ac:dyDescent="0.3"/>
    <row r="571" s="29" customFormat="1" ht="15.75" customHeight="1" x14ac:dyDescent="0.3"/>
    <row r="572" s="29" customFormat="1" ht="15.75" customHeight="1" x14ac:dyDescent="0.3"/>
    <row r="573" s="29" customFormat="1" ht="15.75" customHeight="1" x14ac:dyDescent="0.3"/>
    <row r="574" s="29" customFormat="1" ht="15.75" customHeight="1" x14ac:dyDescent="0.3"/>
    <row r="575" s="29" customFormat="1" ht="15.75" customHeight="1" x14ac:dyDescent="0.3"/>
    <row r="576" s="29" customFormat="1" ht="15.75" customHeight="1" x14ac:dyDescent="0.3"/>
    <row r="577" s="29" customFormat="1" ht="15.75" customHeight="1" x14ac:dyDescent="0.3"/>
    <row r="578" s="29" customFormat="1" ht="15.75" customHeight="1" x14ac:dyDescent="0.3"/>
    <row r="579" s="29" customFormat="1" ht="15.75" customHeight="1" x14ac:dyDescent="0.3"/>
    <row r="580" s="29" customFormat="1" ht="15.75" customHeight="1" x14ac:dyDescent="0.3"/>
    <row r="581" s="29" customFormat="1" ht="15.75" customHeight="1" x14ac:dyDescent="0.3"/>
    <row r="582" s="29" customFormat="1" ht="15.75" customHeight="1" x14ac:dyDescent="0.3"/>
    <row r="583" s="29" customFormat="1" ht="15.75" customHeight="1" x14ac:dyDescent="0.3"/>
    <row r="584" s="29" customFormat="1" ht="15.75" customHeight="1" x14ac:dyDescent="0.3"/>
    <row r="585" s="29" customFormat="1" ht="15.75" customHeight="1" x14ac:dyDescent="0.3"/>
    <row r="586" s="29" customFormat="1" ht="15.75" customHeight="1" x14ac:dyDescent="0.3"/>
    <row r="587" s="29" customFormat="1" ht="15.75" customHeight="1" x14ac:dyDescent="0.3"/>
    <row r="588" s="29" customFormat="1" ht="15.75" customHeight="1" x14ac:dyDescent="0.3"/>
    <row r="589" s="29" customFormat="1" ht="15.75" customHeight="1" x14ac:dyDescent="0.3"/>
    <row r="590" s="29" customFormat="1" ht="15.75" customHeight="1" x14ac:dyDescent="0.3"/>
    <row r="591" s="29" customFormat="1" ht="15.75" customHeight="1" x14ac:dyDescent="0.3"/>
    <row r="592" s="29" customFormat="1" ht="15.75" customHeight="1" x14ac:dyDescent="0.3"/>
    <row r="593" s="29" customFormat="1" ht="15.75" customHeight="1" x14ac:dyDescent="0.3"/>
    <row r="594" s="29" customFormat="1" ht="15.75" customHeight="1" x14ac:dyDescent="0.3"/>
    <row r="595" s="29" customFormat="1" ht="15.75" customHeight="1" x14ac:dyDescent="0.3"/>
    <row r="596" s="29" customFormat="1" ht="15.75" customHeight="1" x14ac:dyDescent="0.3"/>
    <row r="597" s="29" customFormat="1" ht="15.75" customHeight="1" x14ac:dyDescent="0.3"/>
    <row r="598" s="29" customFormat="1" ht="15.75" customHeight="1" x14ac:dyDescent="0.3"/>
    <row r="599" s="29" customFormat="1" ht="15.75" customHeight="1" x14ac:dyDescent="0.3"/>
    <row r="600" s="29" customFormat="1" ht="15.75" customHeight="1" x14ac:dyDescent="0.3"/>
    <row r="601" s="29" customFormat="1" ht="15.75" customHeight="1" x14ac:dyDescent="0.3"/>
    <row r="602" s="29" customFormat="1" ht="15.75" customHeight="1" x14ac:dyDescent="0.3"/>
    <row r="603" s="29" customFormat="1" ht="15.75" customHeight="1" x14ac:dyDescent="0.3"/>
    <row r="604" s="29" customFormat="1" ht="15.75" customHeight="1" x14ac:dyDescent="0.3"/>
    <row r="605" s="29" customFormat="1" ht="15.75" customHeight="1" x14ac:dyDescent="0.3"/>
    <row r="606" s="29" customFormat="1" ht="15.75" customHeight="1" x14ac:dyDescent="0.3"/>
    <row r="607" s="29" customFormat="1" ht="15.75" customHeight="1" x14ac:dyDescent="0.3"/>
    <row r="608" s="29" customFormat="1" ht="15.75" customHeight="1" x14ac:dyDescent="0.3"/>
    <row r="609" s="29" customFormat="1" ht="15.75" customHeight="1" x14ac:dyDescent="0.3"/>
    <row r="610" s="29" customFormat="1" ht="15.75" customHeight="1" x14ac:dyDescent="0.3"/>
    <row r="611" s="29" customFormat="1" ht="15.75" customHeight="1" x14ac:dyDescent="0.3"/>
    <row r="612" s="29" customFormat="1" ht="15.75" customHeight="1" x14ac:dyDescent="0.3"/>
    <row r="613" s="29" customFormat="1" ht="15.75" customHeight="1" x14ac:dyDescent="0.3"/>
    <row r="614" s="29" customFormat="1" ht="15.75" customHeight="1" x14ac:dyDescent="0.3"/>
    <row r="615" s="29" customFormat="1" ht="15.75" customHeight="1" x14ac:dyDescent="0.3"/>
    <row r="616" s="29" customFormat="1" ht="15.75" customHeight="1" x14ac:dyDescent="0.3"/>
    <row r="617" s="29" customFormat="1" ht="15.75" customHeight="1" x14ac:dyDescent="0.3"/>
    <row r="618" s="29" customFormat="1" ht="15.75" customHeight="1" x14ac:dyDescent="0.3"/>
    <row r="619" s="29" customFormat="1" ht="15.75" customHeight="1" x14ac:dyDescent="0.3"/>
    <row r="620" s="29" customFormat="1" ht="15.75" customHeight="1" x14ac:dyDescent="0.3"/>
    <row r="621" s="29" customFormat="1" ht="15.75" customHeight="1" x14ac:dyDescent="0.3"/>
    <row r="622" s="29" customFormat="1" ht="15.75" customHeight="1" x14ac:dyDescent="0.3"/>
    <row r="623" s="29" customFormat="1" ht="15.75" customHeight="1" x14ac:dyDescent="0.3"/>
    <row r="624" s="29" customFormat="1" ht="15.75" customHeight="1" x14ac:dyDescent="0.3"/>
    <row r="625" s="29" customFormat="1" ht="15.75" customHeight="1" x14ac:dyDescent="0.3"/>
    <row r="626" s="29" customFormat="1" ht="15.75" customHeight="1" x14ac:dyDescent="0.3"/>
    <row r="627" s="29" customFormat="1" ht="15.75" customHeight="1" x14ac:dyDescent="0.3"/>
    <row r="628" s="29" customFormat="1" ht="15.75" customHeight="1" x14ac:dyDescent="0.3"/>
    <row r="629" s="29" customFormat="1" ht="15.75" customHeight="1" x14ac:dyDescent="0.3"/>
    <row r="630" s="29" customFormat="1" ht="15.75" customHeight="1" x14ac:dyDescent="0.3"/>
    <row r="631" s="29" customFormat="1" ht="15.75" customHeight="1" x14ac:dyDescent="0.3"/>
    <row r="632" s="29" customFormat="1" ht="15.75" customHeight="1" x14ac:dyDescent="0.3"/>
    <row r="633" s="29" customFormat="1" ht="15.75" customHeight="1" x14ac:dyDescent="0.3"/>
    <row r="634" s="29" customFormat="1" ht="15.75" customHeight="1" x14ac:dyDescent="0.3"/>
    <row r="635" s="29" customFormat="1" ht="15.75" customHeight="1" x14ac:dyDescent="0.3"/>
    <row r="636" s="29" customFormat="1" ht="15.75" customHeight="1" x14ac:dyDescent="0.3"/>
    <row r="637" s="29" customFormat="1" ht="15.75" customHeight="1" x14ac:dyDescent="0.3"/>
    <row r="638" s="29" customFormat="1" ht="15.75" customHeight="1" x14ac:dyDescent="0.3"/>
    <row r="639" s="29" customFormat="1" ht="15.75" customHeight="1" x14ac:dyDescent="0.3"/>
    <row r="640" s="29" customFormat="1" ht="15.75" customHeight="1" x14ac:dyDescent="0.3"/>
    <row r="641" s="29" customFormat="1" ht="15.75" customHeight="1" x14ac:dyDescent="0.3"/>
    <row r="642" s="29" customFormat="1" ht="15.75" customHeight="1" x14ac:dyDescent="0.3"/>
    <row r="643" s="29" customFormat="1" ht="15.75" customHeight="1" x14ac:dyDescent="0.3"/>
    <row r="644" s="29" customFormat="1" ht="15.75" customHeight="1" x14ac:dyDescent="0.3"/>
    <row r="645" s="29" customFormat="1" ht="15.75" customHeight="1" x14ac:dyDescent="0.3"/>
    <row r="646" s="29" customFormat="1" ht="15.75" customHeight="1" x14ac:dyDescent="0.3"/>
    <row r="647" s="29" customFormat="1" ht="15.75" customHeight="1" x14ac:dyDescent="0.3"/>
    <row r="648" s="29" customFormat="1" ht="15.75" customHeight="1" x14ac:dyDescent="0.3"/>
    <row r="649" s="29" customFormat="1" ht="15.75" customHeight="1" x14ac:dyDescent="0.3"/>
    <row r="650" s="29" customFormat="1" ht="15.75" customHeight="1" x14ac:dyDescent="0.3"/>
    <row r="651" s="29" customFormat="1" ht="15.75" customHeight="1" x14ac:dyDescent="0.3"/>
    <row r="652" s="29" customFormat="1" ht="15.75" customHeight="1" x14ac:dyDescent="0.3"/>
    <row r="653" s="29" customFormat="1" ht="15.75" customHeight="1" x14ac:dyDescent="0.3"/>
    <row r="654" s="29" customFormat="1" ht="15.75" customHeight="1" x14ac:dyDescent="0.3"/>
    <row r="655" s="29" customFormat="1" ht="15.75" customHeight="1" x14ac:dyDescent="0.3"/>
    <row r="656" s="29" customFormat="1" ht="15.75" customHeight="1" x14ac:dyDescent="0.3"/>
    <row r="657" s="29" customFormat="1" ht="15.75" customHeight="1" x14ac:dyDescent="0.3"/>
    <row r="658" s="29" customFormat="1" ht="15.75" customHeight="1" x14ac:dyDescent="0.3"/>
    <row r="659" s="29" customFormat="1" ht="15.75" customHeight="1" x14ac:dyDescent="0.3"/>
    <row r="660" s="29" customFormat="1" ht="15.75" customHeight="1" x14ac:dyDescent="0.3"/>
    <row r="661" s="29" customFormat="1" ht="15.75" customHeight="1" x14ac:dyDescent="0.3"/>
    <row r="662" s="29" customFormat="1" ht="15.75" customHeight="1" x14ac:dyDescent="0.3"/>
    <row r="663" s="29" customFormat="1" ht="15.75" customHeight="1" x14ac:dyDescent="0.3"/>
    <row r="664" s="29" customFormat="1" ht="15.75" customHeight="1" x14ac:dyDescent="0.3"/>
    <row r="665" s="29" customFormat="1" ht="15.75" customHeight="1" x14ac:dyDescent="0.3"/>
    <row r="666" s="29" customFormat="1" ht="15.75" customHeight="1" x14ac:dyDescent="0.3"/>
    <row r="667" s="29" customFormat="1" ht="15.75" customHeight="1" x14ac:dyDescent="0.3"/>
    <row r="668" s="29" customFormat="1" ht="15.75" customHeight="1" x14ac:dyDescent="0.3"/>
    <row r="669" s="29" customFormat="1" ht="15.75" customHeight="1" x14ac:dyDescent="0.3"/>
    <row r="670" s="29" customFormat="1" ht="15.75" customHeight="1" x14ac:dyDescent="0.3"/>
    <row r="671" s="29" customFormat="1" ht="15.75" customHeight="1" x14ac:dyDescent="0.3"/>
    <row r="672" s="29" customFormat="1" ht="15.75" customHeight="1" x14ac:dyDescent="0.3"/>
    <row r="673" s="29" customFormat="1" ht="15.75" customHeight="1" x14ac:dyDescent="0.3"/>
    <row r="674" s="29" customFormat="1" ht="15.75" customHeight="1" x14ac:dyDescent="0.3"/>
    <row r="675" s="29" customFormat="1" ht="15.75" customHeight="1" x14ac:dyDescent="0.3"/>
    <row r="676" s="29" customFormat="1" ht="15.75" customHeight="1" x14ac:dyDescent="0.3"/>
    <row r="677" s="29" customFormat="1" ht="15.75" customHeight="1" x14ac:dyDescent="0.3"/>
    <row r="678" s="29" customFormat="1" ht="15.75" customHeight="1" x14ac:dyDescent="0.3"/>
    <row r="679" s="29" customFormat="1" ht="15.75" customHeight="1" x14ac:dyDescent="0.3"/>
    <row r="680" s="29" customFormat="1" ht="15.75" customHeight="1" x14ac:dyDescent="0.3"/>
    <row r="681" s="29" customFormat="1" ht="15.75" customHeight="1" x14ac:dyDescent="0.3"/>
    <row r="682" s="29" customFormat="1" ht="15.75" customHeight="1" x14ac:dyDescent="0.3"/>
    <row r="683" s="29" customFormat="1" ht="15.75" customHeight="1" x14ac:dyDescent="0.3"/>
    <row r="684" s="29" customFormat="1" ht="15.75" customHeight="1" x14ac:dyDescent="0.3"/>
    <row r="685" s="29" customFormat="1" ht="15.75" customHeight="1" x14ac:dyDescent="0.3"/>
    <row r="686" s="29" customFormat="1" ht="15.75" customHeight="1" x14ac:dyDescent="0.3"/>
    <row r="687" s="29" customFormat="1" ht="15.75" customHeight="1" x14ac:dyDescent="0.3"/>
    <row r="688" s="29" customFormat="1" ht="15.75" customHeight="1" x14ac:dyDescent="0.3"/>
    <row r="689" s="29" customFormat="1" ht="15.75" customHeight="1" x14ac:dyDescent="0.3"/>
    <row r="690" s="29" customFormat="1" ht="15.75" customHeight="1" x14ac:dyDescent="0.3"/>
    <row r="691" s="29" customFormat="1" ht="15.75" customHeight="1" x14ac:dyDescent="0.3"/>
    <row r="692" s="29" customFormat="1" ht="15.75" customHeight="1" x14ac:dyDescent="0.3"/>
    <row r="693" s="29" customFormat="1" ht="15.75" customHeight="1" x14ac:dyDescent="0.3"/>
    <row r="694" s="29" customFormat="1" ht="15.75" customHeight="1" x14ac:dyDescent="0.3"/>
    <row r="695" s="29" customFormat="1" ht="15.75" customHeight="1" x14ac:dyDescent="0.3"/>
    <row r="696" s="29" customFormat="1" ht="15.75" customHeight="1" x14ac:dyDescent="0.3"/>
    <row r="697" s="29" customFormat="1" ht="15.75" customHeight="1" x14ac:dyDescent="0.3"/>
    <row r="698" s="29" customFormat="1" ht="15.75" customHeight="1" x14ac:dyDescent="0.3"/>
    <row r="699" s="29" customFormat="1" ht="15.75" customHeight="1" x14ac:dyDescent="0.3"/>
    <row r="700" s="29" customFormat="1" ht="15.75" customHeight="1" x14ac:dyDescent="0.3"/>
    <row r="701" s="29" customFormat="1" ht="15.75" customHeight="1" x14ac:dyDescent="0.3"/>
    <row r="702" s="29" customFormat="1" ht="15.75" customHeight="1" x14ac:dyDescent="0.3"/>
    <row r="703" s="29" customFormat="1" ht="15.75" customHeight="1" x14ac:dyDescent="0.3"/>
    <row r="704" s="29" customFormat="1" ht="15.75" customHeight="1" x14ac:dyDescent="0.3"/>
    <row r="705" s="29" customFormat="1" ht="15.75" customHeight="1" x14ac:dyDescent="0.3"/>
    <row r="706" s="29" customFormat="1" ht="15.75" customHeight="1" x14ac:dyDescent="0.3"/>
    <row r="707" s="29" customFormat="1" ht="15.75" customHeight="1" x14ac:dyDescent="0.3"/>
    <row r="708" s="29" customFormat="1" ht="15.75" customHeight="1" x14ac:dyDescent="0.3"/>
    <row r="709" s="29" customFormat="1" ht="15.75" customHeight="1" x14ac:dyDescent="0.3"/>
    <row r="710" s="29" customFormat="1" ht="15.75" customHeight="1" x14ac:dyDescent="0.3"/>
    <row r="711" s="29" customFormat="1" ht="15.75" customHeight="1" x14ac:dyDescent="0.3"/>
    <row r="712" s="29" customFormat="1" ht="15.75" customHeight="1" x14ac:dyDescent="0.3"/>
    <row r="713" s="29" customFormat="1" ht="15.75" customHeight="1" x14ac:dyDescent="0.3"/>
    <row r="714" s="29" customFormat="1" ht="15.75" customHeight="1" x14ac:dyDescent="0.3"/>
    <row r="715" s="29" customFormat="1" ht="15.75" customHeight="1" x14ac:dyDescent="0.3"/>
    <row r="716" s="29" customFormat="1" ht="15.75" customHeight="1" x14ac:dyDescent="0.3"/>
    <row r="717" s="29" customFormat="1" ht="15.75" customHeight="1" x14ac:dyDescent="0.3"/>
    <row r="718" s="29" customFormat="1" ht="15.75" customHeight="1" x14ac:dyDescent="0.3"/>
    <row r="719" s="29" customFormat="1" ht="15.75" customHeight="1" x14ac:dyDescent="0.3"/>
    <row r="720" s="29" customFormat="1" ht="15.75" customHeight="1" x14ac:dyDescent="0.3"/>
    <row r="721" s="29" customFormat="1" ht="15.75" customHeight="1" x14ac:dyDescent="0.3"/>
    <row r="722" s="29" customFormat="1" ht="15.75" customHeight="1" x14ac:dyDescent="0.3"/>
    <row r="723" s="29" customFormat="1" ht="15.75" customHeight="1" x14ac:dyDescent="0.3"/>
    <row r="724" s="29" customFormat="1" ht="15.75" customHeight="1" x14ac:dyDescent="0.3"/>
    <row r="725" s="29" customFormat="1" ht="15.75" customHeight="1" x14ac:dyDescent="0.3"/>
    <row r="726" s="29" customFormat="1" ht="15.75" customHeight="1" x14ac:dyDescent="0.3"/>
    <row r="727" s="29" customFormat="1" ht="15.75" customHeight="1" x14ac:dyDescent="0.3"/>
    <row r="728" s="29" customFormat="1" ht="15.75" customHeight="1" x14ac:dyDescent="0.3"/>
    <row r="729" s="29" customFormat="1" ht="15.75" customHeight="1" x14ac:dyDescent="0.3"/>
    <row r="730" s="29" customFormat="1" ht="15.75" customHeight="1" x14ac:dyDescent="0.3"/>
    <row r="731" s="29" customFormat="1" ht="15.75" customHeight="1" x14ac:dyDescent="0.3"/>
    <row r="732" s="29" customFormat="1" ht="15.75" customHeight="1" x14ac:dyDescent="0.3"/>
    <row r="733" s="29" customFormat="1" ht="15.75" customHeight="1" x14ac:dyDescent="0.3"/>
    <row r="734" s="29" customFormat="1" ht="15.75" customHeight="1" x14ac:dyDescent="0.3"/>
    <row r="735" s="29" customFormat="1" ht="15.75" customHeight="1" x14ac:dyDescent="0.3"/>
    <row r="736" s="29" customFormat="1" ht="15.75" customHeight="1" x14ac:dyDescent="0.3"/>
    <row r="737" s="29" customFormat="1" ht="15.75" customHeight="1" x14ac:dyDescent="0.3"/>
    <row r="738" s="29" customFormat="1" ht="15.75" customHeight="1" x14ac:dyDescent="0.3"/>
    <row r="739" s="29" customFormat="1" ht="15.75" customHeight="1" x14ac:dyDescent="0.3"/>
    <row r="740" s="29" customFormat="1" ht="15.75" customHeight="1" x14ac:dyDescent="0.3"/>
    <row r="741" s="29" customFormat="1" ht="15.75" customHeight="1" x14ac:dyDescent="0.3"/>
    <row r="742" s="29" customFormat="1" ht="15.75" customHeight="1" x14ac:dyDescent="0.3"/>
    <row r="743" s="29" customFormat="1" ht="15.75" customHeight="1" x14ac:dyDescent="0.3"/>
    <row r="744" s="29" customFormat="1" ht="15.75" customHeight="1" x14ac:dyDescent="0.3"/>
    <row r="745" s="29" customFormat="1" ht="15.75" customHeight="1" x14ac:dyDescent="0.3"/>
    <row r="746" s="29" customFormat="1" ht="15.75" customHeight="1" x14ac:dyDescent="0.3"/>
    <row r="747" s="29" customFormat="1" ht="15.75" customHeight="1" x14ac:dyDescent="0.3"/>
    <row r="748" s="29" customFormat="1" ht="15.75" customHeight="1" x14ac:dyDescent="0.3"/>
    <row r="749" s="29" customFormat="1" ht="15.75" customHeight="1" x14ac:dyDescent="0.3"/>
    <row r="750" s="29" customFormat="1" ht="15.75" customHeight="1" x14ac:dyDescent="0.3"/>
    <row r="751" s="29" customFormat="1" ht="15.75" customHeight="1" x14ac:dyDescent="0.3"/>
    <row r="752" s="29" customFormat="1" ht="15.75" customHeight="1" x14ac:dyDescent="0.3"/>
    <row r="753" s="29" customFormat="1" ht="15.75" customHeight="1" x14ac:dyDescent="0.3"/>
    <row r="754" s="29" customFormat="1" ht="15.75" customHeight="1" x14ac:dyDescent="0.3"/>
    <row r="755" s="29" customFormat="1" ht="15.75" customHeight="1" x14ac:dyDescent="0.3"/>
    <row r="756" s="29" customFormat="1" ht="15.75" customHeight="1" x14ac:dyDescent="0.3"/>
    <row r="757" s="29" customFormat="1" ht="15.75" customHeight="1" x14ac:dyDescent="0.3"/>
    <row r="758" s="29" customFormat="1" ht="15.75" customHeight="1" x14ac:dyDescent="0.3"/>
    <row r="759" s="29" customFormat="1" ht="15.75" customHeight="1" x14ac:dyDescent="0.3"/>
    <row r="760" s="29" customFormat="1" ht="15.75" customHeight="1" x14ac:dyDescent="0.3"/>
    <row r="761" s="29" customFormat="1" ht="15.75" customHeight="1" x14ac:dyDescent="0.3"/>
    <row r="762" s="29" customFormat="1" ht="15.75" customHeight="1" x14ac:dyDescent="0.3"/>
    <row r="763" s="29" customFormat="1" ht="15.75" customHeight="1" x14ac:dyDescent="0.3"/>
    <row r="764" s="29" customFormat="1" ht="15.75" customHeight="1" x14ac:dyDescent="0.3"/>
    <row r="765" s="29" customFormat="1" ht="15.75" customHeight="1" x14ac:dyDescent="0.3"/>
    <row r="766" s="29" customFormat="1" ht="15.75" customHeight="1" x14ac:dyDescent="0.3"/>
    <row r="767" s="29" customFormat="1" ht="15.75" customHeight="1" x14ac:dyDescent="0.3"/>
    <row r="768" s="29" customFormat="1" ht="15.75" customHeight="1" x14ac:dyDescent="0.3"/>
    <row r="769" s="29" customFormat="1" ht="15.75" customHeight="1" x14ac:dyDescent="0.3"/>
    <row r="770" s="29" customFormat="1" ht="15.75" customHeight="1" x14ac:dyDescent="0.3"/>
    <row r="771" s="29" customFormat="1" ht="15.75" customHeight="1" x14ac:dyDescent="0.3"/>
    <row r="772" s="29" customFormat="1" ht="15.75" customHeight="1" x14ac:dyDescent="0.3"/>
    <row r="773" s="29" customFormat="1" ht="15.75" customHeight="1" x14ac:dyDescent="0.3"/>
    <row r="774" s="29" customFormat="1" ht="15.75" customHeight="1" x14ac:dyDescent="0.3"/>
    <row r="775" s="29" customFormat="1" ht="15.75" customHeight="1" x14ac:dyDescent="0.3"/>
    <row r="776" s="29" customFormat="1" ht="15.75" customHeight="1" x14ac:dyDescent="0.3"/>
    <row r="777" s="29" customFormat="1" ht="15.75" customHeight="1" x14ac:dyDescent="0.3"/>
    <row r="778" s="29" customFormat="1" ht="15.75" customHeight="1" x14ac:dyDescent="0.3"/>
    <row r="779" s="29" customFormat="1" ht="15.75" customHeight="1" x14ac:dyDescent="0.3"/>
    <row r="780" s="29" customFormat="1" ht="15.75" customHeight="1" x14ac:dyDescent="0.3"/>
    <row r="781" s="29" customFormat="1" ht="15.75" customHeight="1" x14ac:dyDescent="0.3"/>
    <row r="782" s="29" customFormat="1" ht="15.75" customHeight="1" x14ac:dyDescent="0.3"/>
    <row r="783" s="29" customFormat="1" ht="15.75" customHeight="1" x14ac:dyDescent="0.3"/>
    <row r="784" s="29" customFormat="1" ht="15.75" customHeight="1" x14ac:dyDescent="0.3"/>
    <row r="785" s="29" customFormat="1" ht="15.75" customHeight="1" x14ac:dyDescent="0.3"/>
    <row r="786" s="29" customFormat="1" ht="15.75" customHeight="1" x14ac:dyDescent="0.3"/>
    <row r="787" s="29" customFormat="1" ht="15.75" customHeight="1" x14ac:dyDescent="0.3"/>
    <row r="788" s="29" customFormat="1" ht="15.75" customHeight="1" x14ac:dyDescent="0.3"/>
    <row r="789" s="29" customFormat="1" ht="15.75" customHeight="1" x14ac:dyDescent="0.3"/>
    <row r="790" s="29" customFormat="1" ht="15.75" customHeight="1" x14ac:dyDescent="0.3"/>
    <row r="791" s="29" customFormat="1" ht="15.75" customHeight="1" x14ac:dyDescent="0.3"/>
    <row r="792" s="29" customFormat="1" ht="15.75" customHeight="1" x14ac:dyDescent="0.3"/>
    <row r="793" s="29" customFormat="1" ht="15.75" customHeight="1" x14ac:dyDescent="0.3"/>
    <row r="794" s="29" customFormat="1" ht="15.75" customHeight="1" x14ac:dyDescent="0.3"/>
    <row r="795" s="29" customFormat="1" ht="15.75" customHeight="1" x14ac:dyDescent="0.3"/>
    <row r="796" s="29" customFormat="1" ht="15.75" customHeight="1" x14ac:dyDescent="0.3"/>
    <row r="797" s="29" customFormat="1" ht="15.75" customHeight="1" x14ac:dyDescent="0.3"/>
    <row r="798" s="29" customFormat="1" ht="15.75" customHeight="1" x14ac:dyDescent="0.3"/>
    <row r="799" s="29" customFormat="1" ht="15.75" customHeight="1" x14ac:dyDescent="0.3"/>
    <row r="800" s="29" customFormat="1" ht="15.75" customHeight="1" x14ac:dyDescent="0.3"/>
    <row r="801" s="29" customFormat="1" ht="15.75" customHeight="1" x14ac:dyDescent="0.3"/>
    <row r="802" s="29" customFormat="1" ht="15.75" customHeight="1" x14ac:dyDescent="0.3"/>
    <row r="803" s="29" customFormat="1" ht="15.75" customHeight="1" x14ac:dyDescent="0.3"/>
    <row r="804" s="29" customFormat="1" ht="15.75" customHeight="1" x14ac:dyDescent="0.3"/>
    <row r="805" s="29" customFormat="1" ht="15.75" customHeight="1" x14ac:dyDescent="0.3"/>
    <row r="806" s="29" customFormat="1" ht="15.75" customHeight="1" x14ac:dyDescent="0.3"/>
    <row r="807" s="29" customFormat="1" ht="15.75" customHeight="1" x14ac:dyDescent="0.3"/>
    <row r="808" s="29" customFormat="1" ht="15.75" customHeight="1" x14ac:dyDescent="0.3"/>
    <row r="809" s="29" customFormat="1" ht="15.75" customHeight="1" x14ac:dyDescent="0.3"/>
    <row r="810" s="29" customFormat="1" ht="15.75" customHeight="1" x14ac:dyDescent="0.3"/>
    <row r="811" s="29" customFormat="1" ht="15.75" customHeight="1" x14ac:dyDescent="0.3"/>
    <row r="812" s="29" customFormat="1" ht="15.75" customHeight="1" x14ac:dyDescent="0.3"/>
    <row r="813" s="29" customFormat="1" ht="15.75" customHeight="1" x14ac:dyDescent="0.3"/>
    <row r="814" s="29" customFormat="1" ht="15.75" customHeight="1" x14ac:dyDescent="0.3"/>
    <row r="815" s="29" customFormat="1" ht="15.75" customHeight="1" x14ac:dyDescent="0.3"/>
    <row r="816" s="29" customFormat="1" ht="15.75" customHeight="1" x14ac:dyDescent="0.3"/>
    <row r="817" s="29" customFormat="1" ht="15.75" customHeight="1" x14ac:dyDescent="0.3"/>
    <row r="818" s="29" customFormat="1" ht="15.75" customHeight="1" x14ac:dyDescent="0.3"/>
    <row r="819" s="29" customFormat="1" ht="15.75" customHeight="1" x14ac:dyDescent="0.3"/>
    <row r="820" s="29" customFormat="1" ht="15.75" customHeight="1" x14ac:dyDescent="0.3"/>
    <row r="821" s="29" customFormat="1" ht="15.75" customHeight="1" x14ac:dyDescent="0.3"/>
    <row r="822" s="29" customFormat="1" ht="15.75" customHeight="1" x14ac:dyDescent="0.3"/>
    <row r="823" s="29" customFormat="1" ht="15.75" customHeight="1" x14ac:dyDescent="0.3"/>
    <row r="824" s="29" customFormat="1" ht="15.75" customHeight="1" x14ac:dyDescent="0.3"/>
    <row r="825" s="29" customFormat="1" ht="15.75" customHeight="1" x14ac:dyDescent="0.3"/>
    <row r="826" s="29" customFormat="1" ht="15.75" customHeight="1" x14ac:dyDescent="0.3"/>
    <row r="827" s="29" customFormat="1" ht="15.75" customHeight="1" x14ac:dyDescent="0.3"/>
    <row r="828" s="29" customFormat="1" ht="15.75" customHeight="1" x14ac:dyDescent="0.3"/>
    <row r="829" s="29" customFormat="1" ht="15.75" customHeight="1" x14ac:dyDescent="0.3"/>
    <row r="830" s="29" customFormat="1" ht="15.75" customHeight="1" x14ac:dyDescent="0.3"/>
    <row r="831" s="29" customFormat="1" ht="15.75" customHeight="1" x14ac:dyDescent="0.3"/>
    <row r="832" s="29" customFormat="1" ht="15.75" customHeight="1" x14ac:dyDescent="0.3"/>
    <row r="833" s="29" customFormat="1" ht="15.75" customHeight="1" x14ac:dyDescent="0.3"/>
    <row r="834" s="29" customFormat="1" ht="15.75" customHeight="1" x14ac:dyDescent="0.3"/>
    <row r="835" s="29" customFormat="1" ht="15.75" customHeight="1" x14ac:dyDescent="0.3"/>
    <row r="836" s="29" customFormat="1" ht="15.75" customHeight="1" x14ac:dyDescent="0.3"/>
    <row r="837" s="29" customFormat="1" ht="15.75" customHeight="1" x14ac:dyDescent="0.3"/>
    <row r="838" s="29" customFormat="1" ht="15.75" customHeight="1" x14ac:dyDescent="0.3"/>
    <row r="839" s="29" customFormat="1" ht="15.75" customHeight="1" x14ac:dyDescent="0.3"/>
    <row r="840" s="29" customFormat="1" ht="15.75" customHeight="1" x14ac:dyDescent="0.3"/>
    <row r="841" s="29" customFormat="1" ht="15.75" customHeight="1" x14ac:dyDescent="0.3"/>
    <row r="842" s="29" customFormat="1" ht="15.75" customHeight="1" x14ac:dyDescent="0.3"/>
    <row r="843" s="29" customFormat="1" ht="15.75" customHeight="1" x14ac:dyDescent="0.3"/>
    <row r="844" s="29" customFormat="1" ht="15.75" customHeight="1" x14ac:dyDescent="0.3"/>
    <row r="845" s="29" customFormat="1" ht="15.75" customHeight="1" x14ac:dyDescent="0.3"/>
    <row r="846" s="29" customFormat="1" ht="15.75" customHeight="1" x14ac:dyDescent="0.3"/>
    <row r="847" s="29" customFormat="1" ht="15.75" customHeight="1" x14ac:dyDescent="0.3"/>
    <row r="848" s="29" customFormat="1" ht="15.75" customHeight="1" x14ac:dyDescent="0.3"/>
    <row r="849" s="29" customFormat="1" ht="15.75" customHeight="1" x14ac:dyDescent="0.3"/>
    <row r="850" s="29" customFormat="1" ht="15.75" customHeight="1" x14ac:dyDescent="0.3"/>
    <row r="851" s="29" customFormat="1" ht="15.75" customHeight="1" x14ac:dyDescent="0.3"/>
    <row r="852" s="29" customFormat="1" ht="15.75" customHeight="1" x14ac:dyDescent="0.3"/>
    <row r="853" s="29" customFormat="1" ht="15.75" customHeight="1" x14ac:dyDescent="0.3"/>
    <row r="854" s="29" customFormat="1" ht="15.75" customHeight="1" x14ac:dyDescent="0.3"/>
    <row r="855" s="29" customFormat="1" ht="15.75" customHeight="1" x14ac:dyDescent="0.3"/>
    <row r="856" s="29" customFormat="1" ht="15.75" customHeight="1" x14ac:dyDescent="0.3"/>
    <row r="857" s="29" customFormat="1" ht="15.75" customHeight="1" x14ac:dyDescent="0.3"/>
    <row r="858" s="29" customFormat="1" ht="15.75" customHeight="1" x14ac:dyDescent="0.3"/>
    <row r="859" s="29" customFormat="1" ht="15.75" customHeight="1" x14ac:dyDescent="0.3"/>
    <row r="860" s="29" customFormat="1" ht="15.75" customHeight="1" x14ac:dyDescent="0.3"/>
    <row r="861" s="29" customFormat="1" ht="15.75" customHeight="1" x14ac:dyDescent="0.3"/>
    <row r="862" s="29" customFormat="1" ht="15.75" customHeight="1" x14ac:dyDescent="0.3"/>
    <row r="863" s="29" customFormat="1" ht="15.75" customHeight="1" x14ac:dyDescent="0.3"/>
    <row r="864" s="29" customFormat="1" ht="15.75" customHeight="1" x14ac:dyDescent="0.3"/>
    <row r="865" s="29" customFormat="1" ht="15.75" customHeight="1" x14ac:dyDescent="0.3"/>
    <row r="866" s="29" customFormat="1" ht="15.75" customHeight="1" x14ac:dyDescent="0.3"/>
    <row r="867" s="29" customFormat="1" ht="15.75" customHeight="1" x14ac:dyDescent="0.3"/>
    <row r="868" s="29" customFormat="1" ht="15.75" customHeight="1" x14ac:dyDescent="0.3"/>
    <row r="869" s="29" customFormat="1" ht="15.75" customHeight="1" x14ac:dyDescent="0.3"/>
    <row r="870" s="29" customFormat="1" ht="15.75" customHeight="1" x14ac:dyDescent="0.3"/>
    <row r="871" s="29" customFormat="1" ht="15.75" customHeight="1" x14ac:dyDescent="0.3"/>
    <row r="872" s="29" customFormat="1" ht="15.75" customHeight="1" x14ac:dyDescent="0.3"/>
    <row r="873" s="29" customFormat="1" ht="15.75" customHeight="1" x14ac:dyDescent="0.3"/>
    <row r="874" s="29" customFormat="1" ht="15.75" customHeight="1" x14ac:dyDescent="0.3"/>
    <row r="875" s="29" customFormat="1" ht="15.75" customHeight="1" x14ac:dyDescent="0.3"/>
    <row r="876" s="29" customFormat="1" ht="15.75" customHeight="1" x14ac:dyDescent="0.3"/>
    <row r="877" s="29" customFormat="1" ht="15.75" customHeight="1" x14ac:dyDescent="0.3"/>
    <row r="878" s="29" customFormat="1" ht="15.75" customHeight="1" x14ac:dyDescent="0.3"/>
    <row r="879" s="29" customFormat="1" ht="15.75" customHeight="1" x14ac:dyDescent="0.3"/>
    <row r="880" s="29" customFormat="1" ht="15.75" customHeight="1" x14ac:dyDescent="0.3"/>
    <row r="881" s="29" customFormat="1" ht="15.75" customHeight="1" x14ac:dyDescent="0.3"/>
    <row r="882" s="29" customFormat="1" ht="15.75" customHeight="1" x14ac:dyDescent="0.3"/>
    <row r="883" s="29" customFormat="1" ht="15.75" customHeight="1" x14ac:dyDescent="0.3"/>
    <row r="884" s="29" customFormat="1" ht="15.75" customHeight="1" x14ac:dyDescent="0.3"/>
    <row r="885" s="29" customFormat="1" ht="15.75" customHeight="1" x14ac:dyDescent="0.3"/>
    <row r="886" s="29" customFormat="1" ht="15.75" customHeight="1" x14ac:dyDescent="0.3"/>
    <row r="887" s="29" customFormat="1" ht="15.75" customHeight="1" x14ac:dyDescent="0.3"/>
    <row r="888" s="29" customFormat="1" ht="15.75" customHeight="1" x14ac:dyDescent="0.3"/>
    <row r="889" s="29" customFormat="1" ht="15.75" customHeight="1" x14ac:dyDescent="0.3"/>
    <row r="890" s="29" customFormat="1" ht="15.75" customHeight="1" x14ac:dyDescent="0.3"/>
    <row r="891" s="29" customFormat="1" ht="15.75" customHeight="1" x14ac:dyDescent="0.3"/>
    <row r="892" s="29" customFormat="1" ht="15.75" customHeight="1" x14ac:dyDescent="0.3"/>
    <row r="893" s="29" customFormat="1" ht="15.75" customHeight="1" x14ac:dyDescent="0.3"/>
    <row r="894" s="29" customFormat="1" ht="15.75" customHeight="1" x14ac:dyDescent="0.3"/>
    <row r="895" s="29" customFormat="1" ht="15.75" customHeight="1" x14ac:dyDescent="0.3"/>
    <row r="896" s="29" customFormat="1" ht="15.75" customHeight="1" x14ac:dyDescent="0.3"/>
    <row r="897" s="29" customFormat="1" ht="15.75" customHeight="1" x14ac:dyDescent="0.3"/>
    <row r="898" s="29" customFormat="1" ht="15.75" customHeight="1" x14ac:dyDescent="0.3"/>
    <row r="899" s="29" customFormat="1" ht="15.75" customHeight="1" x14ac:dyDescent="0.3"/>
    <row r="900" s="29" customFormat="1" ht="15.75" customHeight="1" x14ac:dyDescent="0.3"/>
    <row r="901" s="29" customFormat="1" ht="15.75" customHeight="1" x14ac:dyDescent="0.3"/>
    <row r="902" s="29" customFormat="1" ht="15.75" customHeight="1" x14ac:dyDescent="0.3"/>
    <row r="903" s="29" customFormat="1" ht="15.75" customHeight="1" x14ac:dyDescent="0.3"/>
    <row r="904" s="29" customFormat="1" ht="15.75" customHeight="1" x14ac:dyDescent="0.3"/>
    <row r="905" s="29" customFormat="1" ht="15.75" customHeight="1" x14ac:dyDescent="0.3"/>
    <row r="906" s="29" customFormat="1" ht="15.75" customHeight="1" x14ac:dyDescent="0.3"/>
    <row r="907" s="29" customFormat="1" ht="15.75" customHeight="1" x14ac:dyDescent="0.3"/>
    <row r="908" s="29" customFormat="1" ht="15.75" customHeight="1" x14ac:dyDescent="0.3"/>
    <row r="909" s="29" customFormat="1" ht="15.75" customHeight="1" x14ac:dyDescent="0.3"/>
    <row r="910" s="29" customFormat="1" ht="15.75" customHeight="1" x14ac:dyDescent="0.3"/>
    <row r="911" s="29" customFormat="1" ht="15.75" customHeight="1" x14ac:dyDescent="0.3"/>
    <row r="912" s="29" customFormat="1" ht="15.75" customHeight="1" x14ac:dyDescent="0.3"/>
    <row r="913" s="29" customFormat="1" ht="15.75" customHeight="1" x14ac:dyDescent="0.3"/>
    <row r="914" s="29" customFormat="1" ht="15.75" customHeight="1" x14ac:dyDescent="0.3"/>
    <row r="915" s="29" customFormat="1" ht="15.75" customHeight="1" x14ac:dyDescent="0.3"/>
    <row r="916" s="29" customFormat="1" ht="15.75" customHeight="1" x14ac:dyDescent="0.3"/>
    <row r="917" s="29" customFormat="1" ht="15.75" customHeight="1" x14ac:dyDescent="0.3"/>
    <row r="918" s="29" customFormat="1" ht="15.75" customHeight="1" x14ac:dyDescent="0.3"/>
    <row r="919" s="29" customFormat="1" ht="15.75" customHeight="1" x14ac:dyDescent="0.3"/>
    <row r="920" s="29" customFormat="1" ht="15.75" customHeight="1" x14ac:dyDescent="0.3"/>
    <row r="921" s="29" customFormat="1" ht="15.75" customHeight="1" x14ac:dyDescent="0.3"/>
    <row r="922" s="29" customFormat="1" ht="15.75" customHeight="1" x14ac:dyDescent="0.3"/>
    <row r="923" s="29" customFormat="1" ht="15.75" customHeight="1" x14ac:dyDescent="0.3"/>
    <row r="924" s="29" customFormat="1" ht="15.75" customHeight="1" x14ac:dyDescent="0.3"/>
    <row r="925" s="29" customFormat="1" ht="15.75" customHeight="1" x14ac:dyDescent="0.3"/>
    <row r="926" s="29" customFormat="1" ht="15.75" customHeight="1" x14ac:dyDescent="0.3"/>
    <row r="927" s="29" customFormat="1" ht="15.75" customHeight="1" x14ac:dyDescent="0.3"/>
    <row r="928" s="29" customFormat="1" ht="15.75" customHeight="1" x14ac:dyDescent="0.3"/>
    <row r="929" s="29" customFormat="1" ht="15.75" customHeight="1" x14ac:dyDescent="0.3"/>
    <row r="930" s="29" customFormat="1" ht="15.75" customHeight="1" x14ac:dyDescent="0.3"/>
    <row r="931" s="29" customFormat="1" ht="15.75" customHeight="1" x14ac:dyDescent="0.3"/>
    <row r="932" s="29" customFormat="1" ht="15.75" customHeight="1" x14ac:dyDescent="0.3"/>
    <row r="933" s="29" customFormat="1" ht="15.75" customHeight="1" x14ac:dyDescent="0.3"/>
    <row r="934" s="29" customFormat="1" ht="15.75" customHeight="1" x14ac:dyDescent="0.3"/>
    <row r="935" s="29" customFormat="1" ht="15.75" customHeight="1" x14ac:dyDescent="0.3"/>
    <row r="936" s="29" customFormat="1" ht="15.75" customHeight="1" x14ac:dyDescent="0.3"/>
    <row r="937" s="29" customFormat="1" ht="15.75" customHeight="1" x14ac:dyDescent="0.3"/>
    <row r="938" s="29" customFormat="1" ht="15.75" customHeight="1" x14ac:dyDescent="0.3"/>
    <row r="939" s="29" customFormat="1" ht="15.75" customHeight="1" x14ac:dyDescent="0.3"/>
    <row r="940" s="29" customFormat="1" ht="15.75" customHeight="1" x14ac:dyDescent="0.3"/>
    <row r="941" s="29" customFormat="1" ht="15.75" customHeight="1" x14ac:dyDescent="0.3"/>
    <row r="942" s="29" customFormat="1" ht="15.75" customHeight="1" x14ac:dyDescent="0.3"/>
    <row r="943" s="29" customFormat="1" ht="15.75" customHeight="1" x14ac:dyDescent="0.3"/>
    <row r="944" s="29" customFormat="1" ht="15.75" customHeight="1" x14ac:dyDescent="0.3"/>
    <row r="945" s="29" customFormat="1" ht="15.75" customHeight="1" x14ac:dyDescent="0.3"/>
    <row r="946" s="29" customFormat="1" ht="15.75" customHeight="1" x14ac:dyDescent="0.3"/>
    <row r="947" s="29" customFormat="1" ht="15.75" customHeight="1" x14ac:dyDescent="0.3"/>
    <row r="948" s="29" customFormat="1" ht="15.75" customHeight="1" x14ac:dyDescent="0.3"/>
    <row r="949" s="29" customFormat="1" ht="15.75" customHeight="1" x14ac:dyDescent="0.3"/>
    <row r="950" s="29" customFormat="1" ht="15.75" customHeight="1" x14ac:dyDescent="0.3"/>
    <row r="951" s="29" customFormat="1" ht="15.75" customHeight="1" x14ac:dyDescent="0.3"/>
    <row r="952" s="29" customFormat="1" ht="15.75" customHeight="1" x14ac:dyDescent="0.3"/>
    <row r="953" s="29" customFormat="1" ht="15.75" customHeight="1" x14ac:dyDescent="0.3"/>
    <row r="954" s="29" customFormat="1" ht="15.75" customHeight="1" x14ac:dyDescent="0.3"/>
    <row r="955" s="29" customFormat="1" ht="15.75" customHeight="1" x14ac:dyDescent="0.3"/>
    <row r="956" s="29" customFormat="1" ht="15.75" customHeight="1" x14ac:dyDescent="0.3"/>
    <row r="957" s="29" customFormat="1" ht="15.75" customHeight="1" x14ac:dyDescent="0.3"/>
    <row r="958" s="29" customFormat="1" ht="15.75" customHeight="1" x14ac:dyDescent="0.3"/>
    <row r="959" s="29" customFormat="1" ht="15.75" customHeight="1" x14ac:dyDescent="0.3"/>
    <row r="960" s="29" customFormat="1" ht="15.75" customHeight="1" x14ac:dyDescent="0.3"/>
    <row r="961" s="29" customFormat="1" ht="15.75" customHeight="1" x14ac:dyDescent="0.3"/>
    <row r="962" s="29" customFormat="1" ht="15.75" customHeight="1" x14ac:dyDescent="0.3"/>
    <row r="963" s="29" customFormat="1" ht="15.75" customHeight="1" x14ac:dyDescent="0.3"/>
    <row r="964" s="29" customFormat="1" ht="15.75" customHeight="1" x14ac:dyDescent="0.3"/>
    <row r="965" s="29" customFormat="1" ht="15.75" customHeight="1" x14ac:dyDescent="0.3"/>
    <row r="966" s="29" customFormat="1" ht="15.75" customHeight="1" x14ac:dyDescent="0.3"/>
    <row r="967" s="29" customFormat="1" ht="15.75" customHeight="1" x14ac:dyDescent="0.3"/>
    <row r="968" s="29" customFormat="1" ht="15.75" customHeight="1" x14ac:dyDescent="0.3"/>
    <row r="969" s="29" customFormat="1" ht="15.75" customHeight="1" x14ac:dyDescent="0.3"/>
    <row r="970" s="29" customFormat="1" ht="15.75" customHeight="1" x14ac:dyDescent="0.3"/>
    <row r="971" s="29" customFormat="1" ht="15.75" customHeight="1" x14ac:dyDescent="0.3"/>
    <row r="972" s="29" customFormat="1" ht="15.75" customHeight="1" x14ac:dyDescent="0.3"/>
    <row r="973" s="29" customFormat="1" ht="15.75" customHeight="1" x14ac:dyDescent="0.3"/>
    <row r="974" s="29" customFormat="1" ht="15.75" customHeight="1" x14ac:dyDescent="0.3"/>
    <row r="975" s="29" customFormat="1" ht="15.75" customHeight="1" x14ac:dyDescent="0.3"/>
    <row r="976" s="29" customFormat="1" ht="15.75" customHeight="1" x14ac:dyDescent="0.3"/>
    <row r="977" s="29" customFormat="1" ht="15.75" customHeight="1" x14ac:dyDescent="0.3"/>
    <row r="978" s="29" customFormat="1" ht="15.75" customHeight="1" x14ac:dyDescent="0.3"/>
    <row r="979" s="29" customFormat="1" ht="15.75" customHeight="1" x14ac:dyDescent="0.3"/>
    <row r="980" s="29" customFormat="1" ht="15.75" customHeight="1" x14ac:dyDescent="0.3"/>
    <row r="981" s="29" customFormat="1" ht="15.75" customHeight="1" x14ac:dyDescent="0.3"/>
    <row r="982" s="29" customFormat="1" ht="15.75" customHeight="1" x14ac:dyDescent="0.3"/>
    <row r="983" s="29" customFormat="1" ht="15.75" customHeight="1" x14ac:dyDescent="0.3"/>
    <row r="984" s="29" customFormat="1" ht="15.75" customHeight="1" x14ac:dyDescent="0.3"/>
    <row r="985" s="29" customFormat="1" ht="15.75" customHeight="1" x14ac:dyDescent="0.3"/>
    <row r="986" s="29" customFormat="1" ht="15.75" customHeight="1" x14ac:dyDescent="0.3"/>
    <row r="987" s="29" customFormat="1" ht="15.75" customHeight="1" x14ac:dyDescent="0.3"/>
    <row r="988" s="29" customFormat="1" ht="15.75" customHeight="1" x14ac:dyDescent="0.3"/>
    <row r="989" s="29" customFormat="1" ht="15.75" customHeight="1" x14ac:dyDescent="0.3"/>
    <row r="990" s="29" customFormat="1" ht="15.75" customHeight="1" x14ac:dyDescent="0.3"/>
    <row r="991" s="29" customFormat="1" ht="15.75" customHeight="1" x14ac:dyDescent="0.3"/>
    <row r="992" s="29" customFormat="1" ht="15.75" customHeight="1" x14ac:dyDescent="0.3"/>
    <row r="993" s="29" customFormat="1" ht="15.75" customHeight="1" x14ac:dyDescent="0.3"/>
    <row r="994" s="29" customFormat="1" ht="15.75" customHeight="1" x14ac:dyDescent="0.3"/>
    <row r="995" s="29" customFormat="1" ht="15.75" customHeight="1" x14ac:dyDescent="0.3"/>
    <row r="996" s="29" customFormat="1" ht="15.75" customHeight="1" x14ac:dyDescent="0.3"/>
    <row r="997" s="29" customFormat="1" ht="15.75" customHeight="1" x14ac:dyDescent="0.3"/>
    <row r="998" s="29" customFormat="1" ht="15.75" customHeight="1" x14ac:dyDescent="0.3"/>
    <row r="999" s="29" customFormat="1" ht="15.75" customHeight="1" x14ac:dyDescent="0.3"/>
    <row r="1000" s="29" customFormat="1" ht="15.75" customHeight="1" x14ac:dyDescent="0.3"/>
  </sheetData>
  <pageMargins left="0.78740157499999996" right="0.78740157499999996" top="0.984251969" bottom="0.984251969"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160" zoomScaleNormal="160" workbookViewId="0">
      <selection activeCell="B23" sqref="B23"/>
    </sheetView>
  </sheetViews>
  <sheetFormatPr defaultColWidth="12.6640625" defaultRowHeight="15" customHeight="1" x14ac:dyDescent="0.3"/>
  <cols>
    <col min="1" max="1" width="50" style="29" customWidth="1"/>
    <col min="2" max="2" width="13.88671875" style="29" customWidth="1"/>
    <col min="3" max="22" width="9.109375" style="29" customWidth="1"/>
    <col min="23" max="26" width="14.33203125" style="29" customWidth="1"/>
    <col min="27" max="16384" width="12.6640625" style="29"/>
  </cols>
  <sheetData>
    <row r="1" spans="1:26" ht="24" customHeight="1" x14ac:dyDescent="0.35">
      <c r="A1" s="48" t="s">
        <v>17</v>
      </c>
      <c r="B1" s="35"/>
      <c r="C1" s="35"/>
      <c r="D1" s="35"/>
      <c r="E1" s="35"/>
      <c r="F1" s="35"/>
      <c r="G1" s="35"/>
      <c r="H1" s="35"/>
      <c r="I1" s="35"/>
      <c r="J1" s="35"/>
      <c r="K1" s="35"/>
      <c r="L1" s="35"/>
      <c r="M1" s="35"/>
      <c r="N1" s="35"/>
      <c r="O1" s="35"/>
      <c r="P1" s="35"/>
      <c r="Q1" s="35"/>
      <c r="R1" s="35"/>
      <c r="S1" s="35"/>
      <c r="T1" s="35"/>
      <c r="U1" s="35"/>
      <c r="V1" s="35"/>
      <c r="W1" s="35"/>
      <c r="X1" s="35"/>
      <c r="Y1" s="35"/>
      <c r="Z1" s="35"/>
    </row>
    <row r="2" spans="1:26" ht="10.5" customHeight="1" x14ac:dyDescent="0.3">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0.5" customHeight="1" x14ac:dyDescent="0.3">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s="52" customFormat="1" ht="9.6" customHeight="1" x14ac:dyDescent="0.25">
      <c r="A4" s="57" t="str">
        <f>IF(InformacoesBasicas!B10=1,"Custo Unitário de Aquisição do Fornecedor de ",IF(InformacoesBasicas!B10=2,"Custo Unitário de Prestação de cada Serviço de ",IF(InformacoesBasicas!B10=3,"Custo da matéria-prima para Fabricação de cada ","Custo de")))&amp;InformacoesBasicas!C16</f>
        <v>Custo Unitário de Prestação de cada Serviço de produto 1</v>
      </c>
      <c r="B4" s="61">
        <v>15</v>
      </c>
      <c r="C4" s="51"/>
      <c r="D4" s="51"/>
      <c r="E4" s="51"/>
      <c r="F4" s="51"/>
      <c r="G4" s="51"/>
      <c r="H4" s="51"/>
      <c r="I4" s="51"/>
      <c r="J4" s="51"/>
      <c r="K4" s="51"/>
      <c r="L4" s="51"/>
      <c r="M4" s="51"/>
      <c r="N4" s="51"/>
      <c r="O4" s="51"/>
      <c r="P4" s="51"/>
      <c r="Q4" s="51"/>
      <c r="R4" s="51"/>
      <c r="S4" s="51"/>
      <c r="T4" s="51"/>
      <c r="U4" s="51"/>
      <c r="V4" s="51"/>
      <c r="W4" s="51"/>
      <c r="X4" s="51"/>
      <c r="Y4" s="51"/>
      <c r="Z4" s="51"/>
    </row>
    <row r="5" spans="1:26" s="52" customFormat="1" ht="9.6" customHeight="1" x14ac:dyDescent="0.25">
      <c r="A5" s="51"/>
      <c r="B5" s="51"/>
      <c r="C5" s="51"/>
      <c r="D5" s="51"/>
      <c r="E5" s="51"/>
      <c r="F5" s="51"/>
      <c r="G5" s="51"/>
      <c r="H5" s="51"/>
      <c r="I5" s="51"/>
      <c r="J5" s="51"/>
      <c r="K5" s="51"/>
      <c r="L5" s="51"/>
      <c r="M5" s="51"/>
      <c r="N5" s="51"/>
      <c r="O5" s="51"/>
      <c r="P5" s="51"/>
      <c r="Q5" s="51"/>
      <c r="R5" s="51"/>
      <c r="S5" s="51"/>
      <c r="T5" s="51"/>
      <c r="U5" s="51"/>
      <c r="V5" s="51"/>
      <c r="W5" s="51"/>
      <c r="X5" s="51"/>
      <c r="Y5" s="51"/>
      <c r="Z5" s="51"/>
    </row>
    <row r="6" spans="1:26" s="52" customFormat="1" ht="9.6" customHeight="1" x14ac:dyDescent="0.25">
      <c r="A6" s="57" t="str">
        <f>IF(InformacoesBasicas!B10=1,"Custo Unitário de Aquisição do Fornecedor de ",IF(InformacoesBasicas!B10=2,"Custo Unitário de Prestação de cada Serviço de ",IF(InformacoesBasicas!B10=3,"Custo da matéria-prima para Fabricação de cada ","Custo de")))&amp;InformacoesBasicas!C17</f>
        <v>Custo Unitário de Prestação de cada Serviço de produto 2</v>
      </c>
      <c r="B6" s="61">
        <v>20</v>
      </c>
      <c r="C6" s="51"/>
      <c r="D6" s="51"/>
      <c r="E6" s="51"/>
      <c r="F6" s="51"/>
      <c r="G6" s="51"/>
      <c r="H6" s="51"/>
      <c r="I6" s="51"/>
      <c r="J6" s="51"/>
      <c r="K6" s="51"/>
      <c r="L6" s="51"/>
      <c r="M6" s="51"/>
      <c r="N6" s="51"/>
      <c r="O6" s="51"/>
      <c r="P6" s="51"/>
      <c r="Q6" s="51"/>
      <c r="R6" s="51"/>
      <c r="S6" s="51"/>
      <c r="T6" s="51"/>
      <c r="U6" s="51"/>
      <c r="V6" s="51"/>
      <c r="W6" s="51"/>
      <c r="X6" s="51"/>
      <c r="Y6" s="51"/>
      <c r="Z6" s="51"/>
    </row>
    <row r="7" spans="1:26" s="52" customFormat="1" ht="9.6" customHeight="1" x14ac:dyDescent="0.25">
      <c r="A7" s="51"/>
      <c r="B7" s="51"/>
      <c r="C7" s="51"/>
      <c r="D7" s="51"/>
      <c r="E7" s="51"/>
      <c r="F7" s="51"/>
      <c r="G7" s="51"/>
      <c r="H7" s="51"/>
      <c r="I7" s="51"/>
      <c r="J7" s="51"/>
      <c r="K7" s="51"/>
      <c r="L7" s="51"/>
      <c r="M7" s="51"/>
      <c r="N7" s="51"/>
      <c r="O7" s="51"/>
      <c r="P7" s="51"/>
      <c r="Q7" s="51"/>
      <c r="R7" s="51"/>
      <c r="S7" s="51"/>
      <c r="T7" s="51"/>
      <c r="U7" s="51"/>
      <c r="V7" s="51"/>
      <c r="W7" s="51"/>
      <c r="X7" s="51"/>
      <c r="Y7" s="51"/>
      <c r="Z7" s="51"/>
    </row>
    <row r="8" spans="1:26" s="52" customFormat="1" ht="9.6" customHeight="1" x14ac:dyDescent="0.25">
      <c r="A8" s="57" t="str">
        <f>IF(InformacoesBasicas!B10=1,"Custo Unitário de Aquisição do Fornecedor de ",IF(InformacoesBasicas!B10=2,"Custo Unitário de Prestação de cada Serviço de ",IF(InformacoesBasicas!B10=3,"Custo da matéria-prima para Fabricação de cada ","Custo de")))&amp;InformacoesBasicas!C18</f>
        <v>Custo Unitário de Prestação de cada Serviço de produto 3</v>
      </c>
      <c r="B8" s="61">
        <v>25</v>
      </c>
      <c r="C8" s="51"/>
      <c r="D8" s="51"/>
      <c r="E8" s="51"/>
      <c r="F8" s="51"/>
      <c r="G8" s="51"/>
      <c r="H8" s="51"/>
      <c r="I8" s="51"/>
      <c r="J8" s="51"/>
      <c r="K8" s="51"/>
      <c r="L8" s="51"/>
      <c r="M8" s="51"/>
      <c r="N8" s="51"/>
      <c r="O8" s="51"/>
      <c r="P8" s="51"/>
      <c r="Q8" s="51"/>
      <c r="R8" s="51"/>
      <c r="S8" s="51"/>
      <c r="T8" s="51"/>
      <c r="U8" s="51"/>
      <c r="V8" s="51"/>
      <c r="W8" s="51"/>
      <c r="X8" s="51"/>
      <c r="Y8" s="51"/>
      <c r="Z8" s="51"/>
    </row>
    <row r="9" spans="1:26" s="52" customFormat="1" ht="9.6" customHeight="1" x14ac:dyDescent="0.25">
      <c r="A9" s="51"/>
      <c r="B9" s="51"/>
      <c r="C9" s="51"/>
      <c r="D9" s="51"/>
      <c r="E9" s="51"/>
      <c r="F9" s="51"/>
      <c r="G9" s="51"/>
      <c r="H9" s="51"/>
      <c r="I9" s="51"/>
      <c r="J9" s="51"/>
      <c r="K9" s="51"/>
      <c r="L9" s="51"/>
      <c r="M9" s="51"/>
      <c r="N9" s="51"/>
      <c r="O9" s="51"/>
      <c r="P9" s="51"/>
      <c r="Q9" s="51"/>
      <c r="R9" s="51"/>
      <c r="S9" s="51"/>
      <c r="T9" s="51"/>
      <c r="U9" s="51"/>
      <c r="V9" s="51"/>
      <c r="W9" s="51"/>
      <c r="X9" s="51"/>
      <c r="Y9" s="51"/>
      <c r="Z9" s="51"/>
    </row>
    <row r="10" spans="1:26" s="52" customFormat="1" ht="9.6" customHeight="1" x14ac:dyDescent="0.25">
      <c r="A10" s="57" t="str">
        <f>IF(InformacoesBasicas!B10=1,"Custo Unitário de Aquisição do Fornecedor de ",IF(InformacoesBasicas!B10=2,"Custo Unitário de Prestação de cada Serviço de ",IF(InformacoesBasicas!B10=3,"Custo da matéria-prima para Fabricação de cada ","Custo de")))&amp;InformacoesBasicas!C19</f>
        <v>Custo Unitário de Prestação de cada Serviço de produto 4</v>
      </c>
      <c r="B10" s="61">
        <v>30</v>
      </c>
      <c r="C10" s="51"/>
      <c r="D10" s="51"/>
      <c r="E10" s="51"/>
      <c r="F10" s="51"/>
      <c r="G10" s="51"/>
      <c r="H10" s="51"/>
      <c r="I10" s="51"/>
      <c r="J10" s="51"/>
      <c r="K10" s="51"/>
      <c r="L10" s="51"/>
      <c r="M10" s="51"/>
      <c r="N10" s="51"/>
      <c r="O10" s="51"/>
      <c r="P10" s="51"/>
      <c r="Q10" s="51"/>
      <c r="R10" s="51"/>
      <c r="S10" s="51"/>
      <c r="T10" s="51"/>
      <c r="U10" s="51"/>
      <c r="V10" s="51"/>
      <c r="W10" s="51"/>
      <c r="X10" s="51"/>
      <c r="Y10" s="51"/>
      <c r="Z10" s="51"/>
    </row>
    <row r="11" spans="1:26" s="52" customFormat="1" ht="9.6" customHeight="1"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26" s="52" customFormat="1" ht="9.6" customHeight="1" x14ac:dyDescent="0.25">
      <c r="A12" s="57" t="str">
        <f>IF(InformacoesBasicas!B10=1,"Custo Unitário de Aquisição do Fornecedor de ",IF(InformacoesBasicas!B10=2,"Custo Unitário de Prestação de cada Serviço de ",IF(InformacoesBasicas!B10=3,"Custo da matéria-prima para Fabricação de cada ","Custo de")))&amp;InformacoesBasicas!C20</f>
        <v>Custo Unitário de Prestação de cada Serviço de produto 5</v>
      </c>
      <c r="B12" s="61">
        <v>35</v>
      </c>
      <c r="C12" s="51"/>
      <c r="D12" s="51"/>
      <c r="E12" s="51"/>
      <c r="F12" s="51"/>
      <c r="G12" s="51"/>
      <c r="H12" s="51"/>
      <c r="I12" s="51"/>
      <c r="J12" s="51"/>
      <c r="K12" s="51"/>
      <c r="L12" s="51"/>
      <c r="M12" s="51"/>
      <c r="N12" s="51"/>
      <c r="O12" s="51"/>
      <c r="P12" s="51"/>
      <c r="Q12" s="51"/>
      <c r="R12" s="51"/>
      <c r="S12" s="51"/>
      <c r="T12" s="51"/>
      <c r="U12" s="51"/>
      <c r="V12" s="51"/>
      <c r="W12" s="51"/>
      <c r="X12" s="51"/>
      <c r="Y12" s="51"/>
      <c r="Z12" s="51"/>
    </row>
    <row r="13" spans="1:26" s="52" customFormat="1" ht="9.6" customHeight="1" x14ac:dyDescent="0.25">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spans="1:26" s="52" customFormat="1" ht="9.6" customHeight="1" x14ac:dyDescent="0.25">
      <c r="A14" s="57" t="str">
        <f>IF(InformacoesBasicas!B10=1,"Custo Unitário de Aquisição do Fornecedor de ",IF(InformacoesBasicas!B10=2,"Custo Unitário de Prestação de cada Serviço de ",IF(InformacoesBasicas!B10=3,"Custo da matéria-prima para Fabricação de cada ","Custo de")))&amp;InformacoesBasicas!C21</f>
        <v>Custo Unitário de Prestação de cada Serviço de produto 6</v>
      </c>
      <c r="B14" s="61">
        <v>40</v>
      </c>
      <c r="C14" s="51"/>
      <c r="D14" s="51"/>
      <c r="E14" s="51"/>
      <c r="F14" s="51"/>
      <c r="G14" s="51"/>
      <c r="H14" s="51"/>
      <c r="I14" s="51"/>
      <c r="J14" s="51"/>
      <c r="K14" s="51"/>
      <c r="L14" s="51"/>
      <c r="M14" s="51"/>
      <c r="N14" s="51"/>
      <c r="O14" s="51"/>
      <c r="P14" s="51"/>
      <c r="Q14" s="51"/>
      <c r="R14" s="51"/>
      <c r="S14" s="51"/>
      <c r="T14" s="51"/>
      <c r="U14" s="51"/>
      <c r="V14" s="51"/>
      <c r="W14" s="51"/>
      <c r="X14" s="51"/>
      <c r="Y14" s="51"/>
      <c r="Z14" s="51"/>
    </row>
    <row r="15" spans="1:26" s="52" customFormat="1" ht="9.6" customHeight="1" x14ac:dyDescent="0.2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spans="1:26" s="52" customFormat="1" ht="9.6" customHeight="1" x14ac:dyDescent="0.25">
      <c r="A16" s="57" t="str">
        <f>IF(InformacoesBasicas!B10=1,"Custo Unitário de Aquisição do Fornecedor de ",IF(InformacoesBasicas!B10=2,"Custo Unitário de Prestação de cada Serviço de ",IF(InformacoesBasicas!B10=3,"Custo da matéria-prima para Fabricação de cada ","Custo de")))&amp;InformacoesBasicas!C22</f>
        <v>Custo Unitário de Prestação de cada Serviço de produto 7</v>
      </c>
      <c r="B16" s="61">
        <v>45</v>
      </c>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s="52" customFormat="1" ht="9.6" customHeight="1" x14ac:dyDescent="0.25">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s="52" customFormat="1" ht="9.6" customHeight="1" x14ac:dyDescent="0.25">
      <c r="A18" s="57" t="str">
        <f>IF(InformacoesBasicas!B10=1,"Custo Unitário de Aquisição do Fornecedor de ",IF(InformacoesBasicas!B10=2,"Custo Unitário de Prestação de cada Serviço de ",IF(InformacoesBasicas!B10=3,"Custo da matéria-prima para Fabricação de cada ","Custo de")))&amp;InformacoesBasicas!C23</f>
        <v>Custo Unitário de Prestação de cada Serviço de produto 8</v>
      </c>
      <c r="B18" s="61">
        <v>50</v>
      </c>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s="52" customFormat="1" ht="9.6" customHeight="1" x14ac:dyDescent="0.25">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s="52" customFormat="1" ht="9.6" customHeight="1" x14ac:dyDescent="0.25">
      <c r="A20" s="57" t="str">
        <f>IF(InformacoesBasicas!B10=1,"Custo Unitário de Aquisição do Fornecedor de ",IF(InformacoesBasicas!B10=2,"Custo Unitário de Prestação de cada Serviço de ",IF(InformacoesBasicas!B10=3,"Custo da matéria-prima para Fabricação de cada ","Custo de")))&amp;InformacoesBasicas!C24</f>
        <v>Custo Unitário de Prestação de cada Serviço de produto 9</v>
      </c>
      <c r="B20" s="61">
        <v>55</v>
      </c>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s="52" customFormat="1" ht="9.6" customHeight="1" x14ac:dyDescent="0.25">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s="52" customFormat="1" ht="9.6" customHeight="1" x14ac:dyDescent="0.25">
      <c r="A22" s="57" t="str">
        <f>IF(InformacoesBasicas!B10=1,"Custo Unitário de Aquisição do Fornecedor de ",IF(InformacoesBasicas!B10=2,"Custo Unitário de Prestação de cada Serviço de ",IF(InformacoesBasicas!B10=3,"Custo da matéria-prima para Fabricação de cada ","Custo de")))&amp;InformacoesBasicas!C25</f>
        <v>Custo Unitário de Prestação de cada Serviço de produto 10</v>
      </c>
      <c r="B22" s="61">
        <v>60</v>
      </c>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3.8"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spans="1:26" ht="10.5" customHeight="1"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spans="1:26" ht="10.5" customHeight="1"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spans="1:26" ht="10.5" customHeight="1"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10.5" customHeight="1"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6" ht="10.5" customHeight="1"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10.5" customHeight="1"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6" ht="10.5" customHeight="1"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0.5" customHeight="1"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6" ht="10.5" customHeight="1"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ht="10.5" customHeight="1"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ht="10.5" customHeight="1"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0.5" customHeight="1"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10.5" customHeight="1"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ht="10.5" customHeight="1"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0.5" customHeight="1"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10.5" customHeight="1" x14ac:dyDescent="0.3">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spans="1:26" ht="10.5" customHeight="1" x14ac:dyDescent="0.3">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10.5" customHeight="1" x14ac:dyDescent="0.3">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spans="1:26" ht="10.5" customHeight="1" x14ac:dyDescent="0.3">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10.5" customHeight="1" x14ac:dyDescent="0.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spans="1:26" ht="10.5" customHeight="1" x14ac:dyDescent="0.3">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spans="1:26" ht="10.5" customHeight="1" x14ac:dyDescent="0.3">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10.5" customHeight="1" x14ac:dyDescent="0.3">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10.5" customHeight="1" x14ac:dyDescent="0.3">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10.5" customHeight="1" x14ac:dyDescent="0.3">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10.5" customHeight="1" x14ac:dyDescent="0.3">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10.5" customHeight="1" x14ac:dyDescent="0.3">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0.5" customHeight="1" x14ac:dyDescent="0.3">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10.5" customHeight="1" x14ac:dyDescent="0.3">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10.5" customHeight="1" x14ac:dyDescent="0.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10.5" customHeight="1" x14ac:dyDescent="0.3">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10.5" customHeight="1" x14ac:dyDescent="0.3">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0.5" customHeight="1" x14ac:dyDescent="0.3">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0.5" customHeight="1" x14ac:dyDescent="0.3">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0.5" customHeight="1" x14ac:dyDescent="0.3">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0.5" customHeight="1" x14ac:dyDescent="0.3">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0.5" customHeight="1" x14ac:dyDescent="0.3">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0.5" customHeight="1" x14ac:dyDescent="0.3">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0.5" customHeight="1" x14ac:dyDescent="0.3">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0.5" customHeight="1" x14ac:dyDescent="0.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0.5" customHeight="1" x14ac:dyDescent="0.3">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0.5" customHeight="1" x14ac:dyDescent="0.3">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0.5" customHeight="1" x14ac:dyDescent="0.3">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0.5" customHeight="1" x14ac:dyDescent="0.3">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0.5" customHeight="1" x14ac:dyDescent="0.3">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0.5" customHeight="1" x14ac:dyDescent="0.3">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0.5" customHeight="1" x14ac:dyDescent="0.3">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0.5" customHeight="1" x14ac:dyDescent="0.3">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0.5" customHeight="1" x14ac:dyDescent="0.3">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0.5" customHeight="1" x14ac:dyDescent="0.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0.5" customHeight="1" x14ac:dyDescent="0.3">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0.5" customHeight="1" x14ac:dyDescent="0.3">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0.5" customHeight="1" x14ac:dyDescent="0.3">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0.5" customHeight="1" x14ac:dyDescent="0.3">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0.5" customHeight="1" x14ac:dyDescent="0.3">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0.5" customHeight="1" x14ac:dyDescent="0.3">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0.5" customHeight="1" x14ac:dyDescent="0.3">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0.5" customHeight="1" x14ac:dyDescent="0.3">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0.5" customHeight="1" x14ac:dyDescent="0.3">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0.5" customHeight="1" x14ac:dyDescent="0.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0.5" customHeight="1" x14ac:dyDescent="0.3">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0.5" customHeight="1" x14ac:dyDescent="0.3">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0.5" customHeight="1" x14ac:dyDescent="0.3">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0.5" customHeight="1" x14ac:dyDescent="0.3">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0.5" customHeight="1" x14ac:dyDescent="0.3">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0.5" customHeight="1" x14ac:dyDescent="0.3">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0.5" customHeight="1" x14ac:dyDescent="0.3">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0.5" customHeight="1" x14ac:dyDescent="0.3">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0.5" customHeight="1" x14ac:dyDescent="0.3">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0.5" customHeight="1" x14ac:dyDescent="0.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0.5" customHeight="1" x14ac:dyDescent="0.3">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0.5" customHeight="1" x14ac:dyDescent="0.3">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0.5" customHeight="1" x14ac:dyDescent="0.3">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0.5" customHeight="1" x14ac:dyDescent="0.3">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0.5" customHeight="1" x14ac:dyDescent="0.3">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0.5" customHeight="1" x14ac:dyDescent="0.3">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0.5" customHeight="1" x14ac:dyDescent="0.3">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0.5" customHeight="1" x14ac:dyDescent="0.3">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0.5" customHeight="1" x14ac:dyDescent="0.3">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0.5" customHeight="1" x14ac:dyDescent="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0.5" customHeight="1" x14ac:dyDescent="0.3">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0.5" customHeight="1" x14ac:dyDescent="0.3">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0.5" customHeight="1" x14ac:dyDescent="0.3">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0.5" customHeight="1" x14ac:dyDescent="0.3">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0.5" customHeight="1" x14ac:dyDescent="0.3">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0.5" customHeight="1" x14ac:dyDescent="0.3">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0.5" customHeight="1" x14ac:dyDescent="0.3">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0.5" customHeight="1" x14ac:dyDescent="0.3">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0.5" customHeight="1" x14ac:dyDescent="0.3">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0.5" customHeight="1" x14ac:dyDescent="0.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0.5" customHeight="1" x14ac:dyDescent="0.3">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0.5" customHeight="1" x14ac:dyDescent="0.3">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0.5" customHeight="1" x14ac:dyDescent="0.3">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0.5" customHeight="1" x14ac:dyDescent="0.3">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0.5" customHeight="1" x14ac:dyDescent="0.3">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0.5" customHeight="1" x14ac:dyDescent="0.3">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0.5" customHeight="1" x14ac:dyDescent="0.3">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0.5" customHeight="1" x14ac:dyDescent="0.3">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0.5" customHeight="1" x14ac:dyDescent="0.3">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0.5" customHeight="1" x14ac:dyDescent="0.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0.5" customHeight="1" x14ac:dyDescent="0.3">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0.5" customHeight="1" x14ac:dyDescent="0.3">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0.5" customHeight="1" x14ac:dyDescent="0.3">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0.5" customHeight="1" x14ac:dyDescent="0.3">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0.5" customHeight="1" x14ac:dyDescent="0.3">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0.5" customHeight="1" x14ac:dyDescent="0.3">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0.5" customHeight="1" x14ac:dyDescent="0.3">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0.5" customHeight="1" x14ac:dyDescent="0.3">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0.5" customHeight="1" x14ac:dyDescent="0.3">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0.5" customHeight="1" x14ac:dyDescent="0.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0.5" customHeight="1" x14ac:dyDescent="0.3">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0.5" customHeight="1" x14ac:dyDescent="0.3">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0.5" customHeight="1" x14ac:dyDescent="0.3">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0.5" customHeight="1" x14ac:dyDescent="0.3">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0.5" customHeight="1" x14ac:dyDescent="0.3">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0.5" customHeight="1" x14ac:dyDescent="0.3">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0.5" customHeight="1" x14ac:dyDescent="0.3">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0.5" customHeight="1" x14ac:dyDescent="0.3">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0.5" customHeight="1" x14ac:dyDescent="0.3">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0.5" customHeight="1" x14ac:dyDescent="0.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0.5" customHeight="1" x14ac:dyDescent="0.3">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0.5" customHeight="1" x14ac:dyDescent="0.3">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0.5" customHeigh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0.5" customHeight="1" x14ac:dyDescent="0.3">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0.5" customHeight="1" x14ac:dyDescent="0.3">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0.5" customHeight="1" x14ac:dyDescent="0.3">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0.5" customHeight="1" x14ac:dyDescent="0.3">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0.5" customHeight="1" x14ac:dyDescent="0.3">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0.5" customHeight="1" x14ac:dyDescent="0.3">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0.5" customHeight="1" x14ac:dyDescent="0.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0.5" customHeight="1" x14ac:dyDescent="0.3">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0.5" customHeight="1" x14ac:dyDescent="0.3">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0.5" customHeight="1" x14ac:dyDescent="0.3">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0.5" customHeight="1" x14ac:dyDescent="0.3">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0.5" customHeight="1" x14ac:dyDescent="0.3">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0.5" customHeight="1" x14ac:dyDescent="0.3">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0.5" customHeight="1" x14ac:dyDescent="0.3">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0.5" customHeight="1" x14ac:dyDescent="0.3">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0.5" customHeight="1" x14ac:dyDescent="0.3">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0.5" customHeight="1" x14ac:dyDescent="0.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0.5" customHeight="1" x14ac:dyDescent="0.3">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0.5" customHeight="1" x14ac:dyDescent="0.3">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0.5" customHeight="1" x14ac:dyDescent="0.3">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0.5" customHeight="1" x14ac:dyDescent="0.3">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0.5" customHeight="1" x14ac:dyDescent="0.3">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0.5" customHeight="1" x14ac:dyDescent="0.3">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0.5" customHeight="1" x14ac:dyDescent="0.3">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0.5" customHeight="1" x14ac:dyDescent="0.3">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0.5" customHeight="1" x14ac:dyDescent="0.3">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0.5" customHeight="1" x14ac:dyDescent="0.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0.5" customHeight="1" x14ac:dyDescent="0.3">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0.5" customHeight="1" x14ac:dyDescent="0.3">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0.5" customHeight="1" x14ac:dyDescent="0.3">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0.5" customHeight="1" x14ac:dyDescent="0.3">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0.5" customHeight="1" x14ac:dyDescent="0.3">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0.5" customHeight="1" x14ac:dyDescent="0.3">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0.5" customHeight="1" x14ac:dyDescent="0.3">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0.5" customHeight="1" x14ac:dyDescent="0.3">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0.5" customHeight="1" x14ac:dyDescent="0.3">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0.5" customHeight="1" x14ac:dyDescent="0.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0.5" customHeight="1" x14ac:dyDescent="0.3">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0.5" customHeight="1" x14ac:dyDescent="0.3">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0.5" customHeight="1" x14ac:dyDescent="0.3">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0.5" customHeight="1" x14ac:dyDescent="0.3">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0.5" customHeight="1" x14ac:dyDescent="0.3">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0.5" customHeight="1" x14ac:dyDescent="0.3">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0.5" customHeight="1" x14ac:dyDescent="0.3">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0.5" customHeight="1" x14ac:dyDescent="0.3">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0.5" customHeight="1" x14ac:dyDescent="0.3">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0.5" customHeight="1" x14ac:dyDescent="0.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0.5" customHeight="1" x14ac:dyDescent="0.3">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0.5" customHeight="1" x14ac:dyDescent="0.3">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0.5" customHeight="1" x14ac:dyDescent="0.3">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0.5" customHeight="1" x14ac:dyDescent="0.3">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0.5" customHeight="1" x14ac:dyDescent="0.3">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0.5" customHeight="1" x14ac:dyDescent="0.3">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0.5" customHeight="1" x14ac:dyDescent="0.3">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0.5" customHeight="1" x14ac:dyDescent="0.3">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0.5" customHeight="1" x14ac:dyDescent="0.3">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0.5" customHeight="1" x14ac:dyDescent="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0.5" customHeight="1" x14ac:dyDescent="0.3">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0.5" customHeight="1" x14ac:dyDescent="0.3">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0.5" customHeight="1" x14ac:dyDescent="0.3">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0.5" customHeight="1" x14ac:dyDescent="0.3">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0.5" customHeight="1" x14ac:dyDescent="0.3">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0.5" customHeight="1" x14ac:dyDescent="0.3">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0.5" customHeight="1" x14ac:dyDescent="0.3">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0.5" customHeight="1" x14ac:dyDescent="0.3">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0.5" customHeight="1" x14ac:dyDescent="0.3">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0.5" customHeight="1" x14ac:dyDescent="0.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0.5" customHeight="1" x14ac:dyDescent="0.3">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0.5" customHeight="1" x14ac:dyDescent="0.3">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0.5" customHeight="1" x14ac:dyDescent="0.3">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0.5" customHeight="1" x14ac:dyDescent="0.3">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0.5" customHeight="1" x14ac:dyDescent="0.3">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0.5" customHeight="1" x14ac:dyDescent="0.3">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0.5" customHeight="1" x14ac:dyDescent="0.3">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0.5" customHeight="1" x14ac:dyDescent="0.3">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0.5" customHeight="1" x14ac:dyDescent="0.3">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3"/>
    <row r="224" spans="1:26" ht="15.75" customHeight="1" x14ac:dyDescent="0.3"/>
    <row r="225" s="29" customFormat="1" ht="15.75" customHeight="1" x14ac:dyDescent="0.3"/>
    <row r="226" s="29" customFormat="1" ht="15.75" customHeight="1" x14ac:dyDescent="0.3"/>
    <row r="227" s="29" customFormat="1" ht="15.75" customHeight="1" x14ac:dyDescent="0.3"/>
    <row r="228" s="29" customFormat="1" ht="15.75" customHeight="1" x14ac:dyDescent="0.3"/>
    <row r="229" s="29" customFormat="1" ht="15.75" customHeight="1" x14ac:dyDescent="0.3"/>
    <row r="230" s="29" customFormat="1" ht="15.75" customHeight="1" x14ac:dyDescent="0.3"/>
    <row r="231" s="29" customFormat="1" ht="15.75" customHeight="1" x14ac:dyDescent="0.3"/>
    <row r="232" s="29" customFormat="1" ht="15.75" customHeight="1" x14ac:dyDescent="0.3"/>
    <row r="233" s="29" customFormat="1" ht="15.75" customHeight="1" x14ac:dyDescent="0.3"/>
    <row r="234" s="29" customFormat="1" ht="15.75" customHeight="1" x14ac:dyDescent="0.3"/>
    <row r="235" s="29" customFormat="1" ht="15.75" customHeight="1" x14ac:dyDescent="0.3"/>
    <row r="236" s="29" customFormat="1" ht="15.75" customHeight="1" x14ac:dyDescent="0.3"/>
    <row r="237" s="29" customFormat="1" ht="15.75" customHeight="1" x14ac:dyDescent="0.3"/>
    <row r="238" s="29" customFormat="1" ht="15.75" customHeight="1" x14ac:dyDescent="0.3"/>
    <row r="239" s="29" customFormat="1" ht="15.75" customHeight="1" x14ac:dyDescent="0.3"/>
    <row r="240" s="29" customFormat="1" ht="15.75" customHeight="1" x14ac:dyDescent="0.3"/>
    <row r="241" s="29" customFormat="1" ht="15.75" customHeight="1" x14ac:dyDescent="0.3"/>
    <row r="242" s="29" customFormat="1" ht="15.75" customHeight="1" x14ac:dyDescent="0.3"/>
    <row r="243" s="29" customFormat="1" ht="15.75" customHeight="1" x14ac:dyDescent="0.3"/>
    <row r="244" s="29" customFormat="1" ht="15.75" customHeight="1" x14ac:dyDescent="0.3"/>
    <row r="245" s="29" customFormat="1" ht="15.75" customHeight="1" x14ac:dyDescent="0.3"/>
    <row r="246" s="29" customFormat="1" ht="15.75" customHeight="1" x14ac:dyDescent="0.3"/>
    <row r="247" s="29" customFormat="1" ht="15.75" customHeight="1" x14ac:dyDescent="0.3"/>
    <row r="248" s="29" customFormat="1" ht="15.75" customHeight="1" x14ac:dyDescent="0.3"/>
    <row r="249" s="29" customFormat="1" ht="15.75" customHeight="1" x14ac:dyDescent="0.3"/>
    <row r="250" s="29" customFormat="1" ht="15.75" customHeight="1" x14ac:dyDescent="0.3"/>
    <row r="251" s="29" customFormat="1" ht="15.75" customHeight="1" x14ac:dyDescent="0.3"/>
    <row r="252" s="29" customFormat="1" ht="15.75" customHeight="1" x14ac:dyDescent="0.3"/>
    <row r="253" s="29" customFormat="1" ht="15.75" customHeight="1" x14ac:dyDescent="0.3"/>
    <row r="254" s="29" customFormat="1" ht="15.75" customHeight="1" x14ac:dyDescent="0.3"/>
    <row r="255" s="29" customFormat="1" ht="15.75" customHeight="1" x14ac:dyDescent="0.3"/>
    <row r="256" s="29" customFormat="1" ht="15.75" customHeight="1" x14ac:dyDescent="0.3"/>
    <row r="257" s="29" customFormat="1" ht="15.75" customHeight="1" x14ac:dyDescent="0.3"/>
    <row r="258" s="29" customFormat="1" ht="15.75" customHeight="1" x14ac:dyDescent="0.3"/>
    <row r="259" s="29" customFormat="1" ht="15.75" customHeight="1" x14ac:dyDescent="0.3"/>
    <row r="260" s="29" customFormat="1" ht="15.75" customHeight="1" x14ac:dyDescent="0.3"/>
    <row r="261" s="29" customFormat="1" ht="15.75" customHeight="1" x14ac:dyDescent="0.3"/>
    <row r="262" s="29" customFormat="1" ht="15.75" customHeight="1" x14ac:dyDescent="0.3"/>
    <row r="263" s="29" customFormat="1" ht="15.75" customHeight="1" x14ac:dyDescent="0.3"/>
    <row r="264" s="29" customFormat="1" ht="15.75" customHeight="1" x14ac:dyDescent="0.3"/>
    <row r="265" s="29" customFormat="1" ht="15.75" customHeight="1" x14ac:dyDescent="0.3"/>
    <row r="266" s="29" customFormat="1" ht="15.75" customHeight="1" x14ac:dyDescent="0.3"/>
    <row r="267" s="29" customFormat="1" ht="15.75" customHeight="1" x14ac:dyDescent="0.3"/>
    <row r="268" s="29" customFormat="1" ht="15.75" customHeight="1" x14ac:dyDescent="0.3"/>
    <row r="269" s="29" customFormat="1" ht="15.75" customHeight="1" x14ac:dyDescent="0.3"/>
    <row r="270" s="29" customFormat="1" ht="15.75" customHeight="1" x14ac:dyDescent="0.3"/>
    <row r="271" s="29" customFormat="1" ht="15.75" customHeight="1" x14ac:dyDescent="0.3"/>
    <row r="272" s="29" customFormat="1" ht="15.75" customHeight="1" x14ac:dyDescent="0.3"/>
    <row r="273" s="29" customFormat="1" ht="15.75" customHeight="1" x14ac:dyDescent="0.3"/>
    <row r="274" s="29" customFormat="1" ht="15.75" customHeight="1" x14ac:dyDescent="0.3"/>
    <row r="275" s="29" customFormat="1" ht="15.75" customHeight="1" x14ac:dyDescent="0.3"/>
    <row r="276" s="29" customFormat="1" ht="15.75" customHeight="1" x14ac:dyDescent="0.3"/>
    <row r="277" s="29" customFormat="1" ht="15.75" customHeight="1" x14ac:dyDescent="0.3"/>
    <row r="278" s="29" customFormat="1" ht="15.75" customHeight="1" x14ac:dyDescent="0.3"/>
    <row r="279" s="29" customFormat="1" ht="15.75" customHeight="1" x14ac:dyDescent="0.3"/>
    <row r="280" s="29" customFormat="1" ht="15.75" customHeight="1" x14ac:dyDescent="0.3"/>
    <row r="281" s="29" customFormat="1" ht="15.75" customHeight="1" x14ac:dyDescent="0.3"/>
    <row r="282" s="29" customFormat="1" ht="15.75" customHeight="1" x14ac:dyDescent="0.3"/>
    <row r="283" s="29" customFormat="1" ht="15.75" customHeight="1" x14ac:dyDescent="0.3"/>
    <row r="284" s="29" customFormat="1" ht="15.75" customHeight="1" x14ac:dyDescent="0.3"/>
    <row r="285" s="29" customFormat="1" ht="15.75" customHeight="1" x14ac:dyDescent="0.3"/>
    <row r="286" s="29" customFormat="1" ht="15.75" customHeight="1" x14ac:dyDescent="0.3"/>
    <row r="287" s="29" customFormat="1" ht="15.75" customHeight="1" x14ac:dyDescent="0.3"/>
    <row r="288" s="29" customFormat="1" ht="15.75" customHeight="1" x14ac:dyDescent="0.3"/>
    <row r="289" s="29" customFormat="1" ht="15.75" customHeight="1" x14ac:dyDescent="0.3"/>
    <row r="290" s="29" customFormat="1" ht="15.75" customHeight="1" x14ac:dyDescent="0.3"/>
    <row r="291" s="29" customFormat="1" ht="15.75" customHeight="1" x14ac:dyDescent="0.3"/>
    <row r="292" s="29" customFormat="1" ht="15.75" customHeight="1" x14ac:dyDescent="0.3"/>
    <row r="293" s="29" customFormat="1" ht="15.75" customHeight="1" x14ac:dyDescent="0.3"/>
    <row r="294" s="29" customFormat="1" ht="15.75" customHeight="1" x14ac:dyDescent="0.3"/>
    <row r="295" s="29" customFormat="1" ht="15.75" customHeight="1" x14ac:dyDescent="0.3"/>
    <row r="296" s="29" customFormat="1" ht="15.75" customHeight="1" x14ac:dyDescent="0.3"/>
    <row r="297" s="29" customFormat="1" ht="15.75" customHeight="1" x14ac:dyDescent="0.3"/>
    <row r="298" s="29" customFormat="1" ht="15.75" customHeight="1" x14ac:dyDescent="0.3"/>
    <row r="299" s="29" customFormat="1" ht="15.75" customHeight="1" x14ac:dyDescent="0.3"/>
    <row r="300" s="29" customFormat="1" ht="15.75" customHeight="1" x14ac:dyDescent="0.3"/>
    <row r="301" s="29" customFormat="1" ht="15.75" customHeight="1" x14ac:dyDescent="0.3"/>
    <row r="302" s="29" customFormat="1" ht="15.75" customHeight="1" x14ac:dyDescent="0.3"/>
    <row r="303" s="29" customFormat="1" ht="15.75" customHeight="1" x14ac:dyDescent="0.3"/>
    <row r="304" s="29" customFormat="1" ht="15.75" customHeight="1" x14ac:dyDescent="0.3"/>
    <row r="305" s="29" customFormat="1" ht="15.75" customHeight="1" x14ac:dyDescent="0.3"/>
    <row r="306" s="29" customFormat="1" ht="15.75" customHeight="1" x14ac:dyDescent="0.3"/>
    <row r="307" s="29" customFormat="1" ht="15.75" customHeight="1" x14ac:dyDescent="0.3"/>
    <row r="308" s="29" customFormat="1" ht="15.75" customHeight="1" x14ac:dyDescent="0.3"/>
    <row r="309" s="29" customFormat="1" ht="15.75" customHeight="1" x14ac:dyDescent="0.3"/>
    <row r="310" s="29" customFormat="1" ht="15.75" customHeight="1" x14ac:dyDescent="0.3"/>
    <row r="311" s="29" customFormat="1" ht="15.75" customHeight="1" x14ac:dyDescent="0.3"/>
    <row r="312" s="29" customFormat="1" ht="15.75" customHeight="1" x14ac:dyDescent="0.3"/>
    <row r="313" s="29" customFormat="1" ht="15.75" customHeight="1" x14ac:dyDescent="0.3"/>
    <row r="314" s="29" customFormat="1" ht="15.75" customHeight="1" x14ac:dyDescent="0.3"/>
    <row r="315" s="29" customFormat="1" ht="15.75" customHeight="1" x14ac:dyDescent="0.3"/>
    <row r="316" s="29" customFormat="1" ht="15.75" customHeight="1" x14ac:dyDescent="0.3"/>
    <row r="317" s="29" customFormat="1" ht="15.75" customHeight="1" x14ac:dyDescent="0.3"/>
    <row r="318" s="29" customFormat="1" ht="15.75" customHeight="1" x14ac:dyDescent="0.3"/>
    <row r="319" s="29" customFormat="1" ht="15.75" customHeight="1" x14ac:dyDescent="0.3"/>
    <row r="320" s="29" customFormat="1" ht="15.75" customHeight="1" x14ac:dyDescent="0.3"/>
    <row r="321" s="29" customFormat="1" ht="15.75" customHeight="1" x14ac:dyDescent="0.3"/>
    <row r="322" s="29" customFormat="1" ht="15.75" customHeight="1" x14ac:dyDescent="0.3"/>
    <row r="323" s="29" customFormat="1" ht="15.75" customHeight="1" x14ac:dyDescent="0.3"/>
    <row r="324" s="29" customFormat="1" ht="15.75" customHeight="1" x14ac:dyDescent="0.3"/>
    <row r="325" s="29" customFormat="1" ht="15.75" customHeight="1" x14ac:dyDescent="0.3"/>
    <row r="326" s="29" customFormat="1" ht="15.75" customHeight="1" x14ac:dyDescent="0.3"/>
    <row r="327" s="29" customFormat="1" ht="15.75" customHeight="1" x14ac:dyDescent="0.3"/>
    <row r="328" s="29" customFormat="1" ht="15.75" customHeight="1" x14ac:dyDescent="0.3"/>
    <row r="329" s="29" customFormat="1" ht="15.75" customHeight="1" x14ac:dyDescent="0.3"/>
    <row r="330" s="29" customFormat="1" ht="15.75" customHeight="1" x14ac:dyDescent="0.3"/>
    <row r="331" s="29" customFormat="1" ht="15.75" customHeight="1" x14ac:dyDescent="0.3"/>
    <row r="332" s="29" customFormat="1" ht="15.75" customHeight="1" x14ac:dyDescent="0.3"/>
    <row r="333" s="29" customFormat="1" ht="15.75" customHeight="1" x14ac:dyDescent="0.3"/>
    <row r="334" s="29" customFormat="1" ht="15.75" customHeight="1" x14ac:dyDescent="0.3"/>
    <row r="335" s="29" customFormat="1" ht="15.75" customHeight="1" x14ac:dyDescent="0.3"/>
    <row r="336" s="29" customFormat="1" ht="15.75" customHeight="1" x14ac:dyDescent="0.3"/>
    <row r="337" s="29" customFormat="1" ht="15.75" customHeight="1" x14ac:dyDescent="0.3"/>
    <row r="338" s="29" customFormat="1" ht="15.75" customHeight="1" x14ac:dyDescent="0.3"/>
    <row r="339" s="29" customFormat="1" ht="15.75" customHeight="1" x14ac:dyDescent="0.3"/>
    <row r="340" s="29" customFormat="1" ht="15.75" customHeight="1" x14ac:dyDescent="0.3"/>
    <row r="341" s="29" customFormat="1" ht="15.75" customHeight="1" x14ac:dyDescent="0.3"/>
    <row r="342" s="29" customFormat="1" ht="15.75" customHeight="1" x14ac:dyDescent="0.3"/>
    <row r="343" s="29" customFormat="1" ht="15.75" customHeight="1" x14ac:dyDescent="0.3"/>
    <row r="344" s="29" customFormat="1" ht="15.75" customHeight="1" x14ac:dyDescent="0.3"/>
    <row r="345" s="29" customFormat="1" ht="15.75" customHeight="1" x14ac:dyDescent="0.3"/>
    <row r="346" s="29" customFormat="1" ht="15.75" customHeight="1" x14ac:dyDescent="0.3"/>
    <row r="347" s="29" customFormat="1" ht="15.75" customHeight="1" x14ac:dyDescent="0.3"/>
    <row r="348" s="29" customFormat="1" ht="15.75" customHeight="1" x14ac:dyDescent="0.3"/>
    <row r="349" s="29" customFormat="1" ht="15.75" customHeight="1" x14ac:dyDescent="0.3"/>
    <row r="350" s="29" customFormat="1" ht="15.75" customHeight="1" x14ac:dyDescent="0.3"/>
    <row r="351" s="29" customFormat="1" ht="15.75" customHeight="1" x14ac:dyDescent="0.3"/>
    <row r="352" s="29" customFormat="1" ht="15.75" customHeight="1" x14ac:dyDescent="0.3"/>
    <row r="353" s="29" customFormat="1" ht="15.75" customHeight="1" x14ac:dyDescent="0.3"/>
    <row r="354" s="29" customFormat="1" ht="15.75" customHeight="1" x14ac:dyDescent="0.3"/>
    <row r="355" s="29" customFormat="1" ht="15.75" customHeight="1" x14ac:dyDescent="0.3"/>
    <row r="356" s="29" customFormat="1" ht="15.75" customHeight="1" x14ac:dyDescent="0.3"/>
    <row r="357" s="29" customFormat="1" ht="15.75" customHeight="1" x14ac:dyDescent="0.3"/>
    <row r="358" s="29" customFormat="1" ht="15.75" customHeight="1" x14ac:dyDescent="0.3"/>
    <row r="359" s="29" customFormat="1" ht="15.75" customHeight="1" x14ac:dyDescent="0.3"/>
    <row r="360" s="29" customFormat="1" ht="15.75" customHeight="1" x14ac:dyDescent="0.3"/>
    <row r="361" s="29" customFormat="1" ht="15.75" customHeight="1" x14ac:dyDescent="0.3"/>
    <row r="362" s="29" customFormat="1" ht="15.75" customHeight="1" x14ac:dyDescent="0.3"/>
    <row r="363" s="29" customFormat="1" ht="15.75" customHeight="1" x14ac:dyDescent="0.3"/>
    <row r="364" s="29" customFormat="1" ht="15.75" customHeight="1" x14ac:dyDescent="0.3"/>
    <row r="365" s="29" customFormat="1" ht="15.75" customHeight="1" x14ac:dyDescent="0.3"/>
    <row r="366" s="29" customFormat="1" ht="15.75" customHeight="1" x14ac:dyDescent="0.3"/>
    <row r="367" s="29" customFormat="1" ht="15.75" customHeight="1" x14ac:dyDescent="0.3"/>
    <row r="368" s="29" customFormat="1" ht="15.75" customHeight="1" x14ac:dyDescent="0.3"/>
    <row r="369" s="29" customFormat="1" ht="15.75" customHeight="1" x14ac:dyDescent="0.3"/>
    <row r="370" s="29" customFormat="1" ht="15.75" customHeight="1" x14ac:dyDescent="0.3"/>
    <row r="371" s="29" customFormat="1" ht="15.75" customHeight="1" x14ac:dyDescent="0.3"/>
    <row r="372" s="29" customFormat="1" ht="15.75" customHeight="1" x14ac:dyDescent="0.3"/>
    <row r="373" s="29" customFormat="1" ht="15.75" customHeight="1" x14ac:dyDescent="0.3"/>
    <row r="374" s="29" customFormat="1" ht="15.75" customHeight="1" x14ac:dyDescent="0.3"/>
    <row r="375" s="29" customFormat="1" ht="15.75" customHeight="1" x14ac:dyDescent="0.3"/>
    <row r="376" s="29" customFormat="1" ht="15.75" customHeight="1" x14ac:dyDescent="0.3"/>
    <row r="377" s="29" customFormat="1" ht="15.75" customHeight="1" x14ac:dyDescent="0.3"/>
    <row r="378" s="29" customFormat="1" ht="15.75" customHeight="1" x14ac:dyDescent="0.3"/>
    <row r="379" s="29" customFormat="1" ht="15.75" customHeight="1" x14ac:dyDescent="0.3"/>
    <row r="380" s="29" customFormat="1" ht="15.75" customHeight="1" x14ac:dyDescent="0.3"/>
    <row r="381" s="29" customFormat="1" ht="15.75" customHeight="1" x14ac:dyDescent="0.3"/>
    <row r="382" s="29" customFormat="1" ht="15.75" customHeight="1" x14ac:dyDescent="0.3"/>
    <row r="383" s="29" customFormat="1" ht="15.75" customHeight="1" x14ac:dyDescent="0.3"/>
    <row r="384" s="29" customFormat="1" ht="15.75" customHeight="1" x14ac:dyDescent="0.3"/>
    <row r="385" s="29" customFormat="1" ht="15.75" customHeight="1" x14ac:dyDescent="0.3"/>
    <row r="386" s="29" customFormat="1" ht="15.75" customHeight="1" x14ac:dyDescent="0.3"/>
    <row r="387" s="29" customFormat="1" ht="15.75" customHeight="1" x14ac:dyDescent="0.3"/>
    <row r="388" s="29" customFormat="1" ht="15.75" customHeight="1" x14ac:dyDescent="0.3"/>
    <row r="389" s="29" customFormat="1" ht="15.75" customHeight="1" x14ac:dyDescent="0.3"/>
    <row r="390" s="29" customFormat="1" ht="15.75" customHeight="1" x14ac:dyDescent="0.3"/>
    <row r="391" s="29" customFormat="1" ht="15.75" customHeight="1" x14ac:dyDescent="0.3"/>
    <row r="392" s="29" customFormat="1" ht="15.75" customHeight="1" x14ac:dyDescent="0.3"/>
    <row r="393" s="29" customFormat="1" ht="15.75" customHeight="1" x14ac:dyDescent="0.3"/>
    <row r="394" s="29" customFormat="1" ht="15.75" customHeight="1" x14ac:dyDescent="0.3"/>
    <row r="395" s="29" customFormat="1" ht="15.75" customHeight="1" x14ac:dyDescent="0.3"/>
    <row r="396" s="29" customFormat="1" ht="15.75" customHeight="1" x14ac:dyDescent="0.3"/>
    <row r="397" s="29" customFormat="1" ht="15.75" customHeight="1" x14ac:dyDescent="0.3"/>
    <row r="398" s="29" customFormat="1" ht="15.75" customHeight="1" x14ac:dyDescent="0.3"/>
    <row r="399" s="29" customFormat="1" ht="15.75" customHeight="1" x14ac:dyDescent="0.3"/>
    <row r="400" s="29" customFormat="1" ht="15.75" customHeight="1" x14ac:dyDescent="0.3"/>
    <row r="401" s="29" customFormat="1" ht="15.75" customHeight="1" x14ac:dyDescent="0.3"/>
    <row r="402" s="29" customFormat="1" ht="15.75" customHeight="1" x14ac:dyDescent="0.3"/>
    <row r="403" s="29" customFormat="1" ht="15.75" customHeight="1" x14ac:dyDescent="0.3"/>
    <row r="404" s="29" customFormat="1" ht="15.75" customHeight="1" x14ac:dyDescent="0.3"/>
    <row r="405" s="29" customFormat="1" ht="15.75" customHeight="1" x14ac:dyDescent="0.3"/>
    <row r="406" s="29" customFormat="1" ht="15.75" customHeight="1" x14ac:dyDescent="0.3"/>
    <row r="407" s="29" customFormat="1" ht="15.75" customHeight="1" x14ac:dyDescent="0.3"/>
    <row r="408" s="29" customFormat="1" ht="15.75" customHeight="1" x14ac:dyDescent="0.3"/>
    <row r="409" s="29" customFormat="1" ht="15.75" customHeight="1" x14ac:dyDescent="0.3"/>
    <row r="410" s="29" customFormat="1" ht="15.75" customHeight="1" x14ac:dyDescent="0.3"/>
    <row r="411" s="29" customFormat="1" ht="15.75" customHeight="1" x14ac:dyDescent="0.3"/>
    <row r="412" s="29" customFormat="1" ht="15.75" customHeight="1" x14ac:dyDescent="0.3"/>
    <row r="413" s="29" customFormat="1" ht="15.75" customHeight="1" x14ac:dyDescent="0.3"/>
    <row r="414" s="29" customFormat="1" ht="15.75" customHeight="1" x14ac:dyDescent="0.3"/>
    <row r="415" s="29" customFormat="1" ht="15.75" customHeight="1" x14ac:dyDescent="0.3"/>
    <row r="416" s="29" customFormat="1" ht="15.75" customHeight="1" x14ac:dyDescent="0.3"/>
    <row r="417" s="29" customFormat="1" ht="15.75" customHeight="1" x14ac:dyDescent="0.3"/>
    <row r="418" s="29" customFormat="1" ht="15.75" customHeight="1" x14ac:dyDescent="0.3"/>
    <row r="419" s="29" customFormat="1" ht="15.75" customHeight="1" x14ac:dyDescent="0.3"/>
    <row r="420" s="29" customFormat="1" ht="15.75" customHeight="1" x14ac:dyDescent="0.3"/>
    <row r="421" s="29" customFormat="1" ht="15.75" customHeight="1" x14ac:dyDescent="0.3"/>
    <row r="422" s="29" customFormat="1" ht="15.75" customHeight="1" x14ac:dyDescent="0.3"/>
    <row r="423" s="29" customFormat="1" ht="15.75" customHeight="1" x14ac:dyDescent="0.3"/>
    <row r="424" s="29" customFormat="1" ht="15.75" customHeight="1" x14ac:dyDescent="0.3"/>
    <row r="425" s="29" customFormat="1" ht="15.75" customHeight="1" x14ac:dyDescent="0.3"/>
    <row r="426" s="29" customFormat="1" ht="15.75" customHeight="1" x14ac:dyDescent="0.3"/>
    <row r="427" s="29" customFormat="1" ht="15.75" customHeight="1" x14ac:dyDescent="0.3"/>
    <row r="428" s="29" customFormat="1" ht="15.75" customHeight="1" x14ac:dyDescent="0.3"/>
    <row r="429" s="29" customFormat="1" ht="15.75" customHeight="1" x14ac:dyDescent="0.3"/>
    <row r="430" s="29" customFormat="1" ht="15.75" customHeight="1" x14ac:dyDescent="0.3"/>
    <row r="431" s="29" customFormat="1" ht="15.75" customHeight="1" x14ac:dyDescent="0.3"/>
    <row r="432" s="29" customFormat="1" ht="15.75" customHeight="1" x14ac:dyDescent="0.3"/>
    <row r="433" s="29" customFormat="1" ht="15.75" customHeight="1" x14ac:dyDescent="0.3"/>
    <row r="434" s="29" customFormat="1" ht="15.75" customHeight="1" x14ac:dyDescent="0.3"/>
    <row r="435" s="29" customFormat="1" ht="15.75" customHeight="1" x14ac:dyDescent="0.3"/>
    <row r="436" s="29" customFormat="1" ht="15.75" customHeight="1" x14ac:dyDescent="0.3"/>
    <row r="437" s="29" customFormat="1" ht="15.75" customHeight="1" x14ac:dyDescent="0.3"/>
    <row r="438" s="29" customFormat="1" ht="15.75" customHeight="1" x14ac:dyDescent="0.3"/>
    <row r="439" s="29" customFormat="1" ht="15.75" customHeight="1" x14ac:dyDescent="0.3"/>
    <row r="440" s="29" customFormat="1" ht="15.75" customHeight="1" x14ac:dyDescent="0.3"/>
    <row r="441" s="29" customFormat="1" ht="15.75" customHeight="1" x14ac:dyDescent="0.3"/>
    <row r="442" s="29" customFormat="1" ht="15.75" customHeight="1" x14ac:dyDescent="0.3"/>
    <row r="443" s="29" customFormat="1" ht="15.75" customHeight="1" x14ac:dyDescent="0.3"/>
    <row r="444" s="29" customFormat="1" ht="15.75" customHeight="1" x14ac:dyDescent="0.3"/>
    <row r="445" s="29" customFormat="1" ht="15.75" customHeight="1" x14ac:dyDescent="0.3"/>
    <row r="446" s="29" customFormat="1" ht="15.75" customHeight="1" x14ac:dyDescent="0.3"/>
    <row r="447" s="29" customFormat="1" ht="15.75" customHeight="1" x14ac:dyDescent="0.3"/>
    <row r="448" s="29" customFormat="1" ht="15.75" customHeight="1" x14ac:dyDescent="0.3"/>
    <row r="449" s="29" customFormat="1" ht="15.75" customHeight="1" x14ac:dyDescent="0.3"/>
    <row r="450" s="29" customFormat="1" ht="15.75" customHeight="1" x14ac:dyDescent="0.3"/>
    <row r="451" s="29" customFormat="1" ht="15.75" customHeight="1" x14ac:dyDescent="0.3"/>
    <row r="452" s="29" customFormat="1" ht="15.75" customHeight="1" x14ac:dyDescent="0.3"/>
    <row r="453" s="29" customFormat="1" ht="15.75" customHeight="1" x14ac:dyDescent="0.3"/>
    <row r="454" s="29" customFormat="1" ht="15.75" customHeight="1" x14ac:dyDescent="0.3"/>
    <row r="455" s="29" customFormat="1" ht="15.75" customHeight="1" x14ac:dyDescent="0.3"/>
    <row r="456" s="29" customFormat="1" ht="15.75" customHeight="1" x14ac:dyDescent="0.3"/>
    <row r="457" s="29" customFormat="1" ht="15.75" customHeight="1" x14ac:dyDescent="0.3"/>
    <row r="458" s="29" customFormat="1" ht="15.75" customHeight="1" x14ac:dyDescent="0.3"/>
    <row r="459" s="29" customFormat="1" ht="15.75" customHeight="1" x14ac:dyDescent="0.3"/>
    <row r="460" s="29" customFormat="1" ht="15.75" customHeight="1" x14ac:dyDescent="0.3"/>
    <row r="461" s="29" customFormat="1" ht="15.75" customHeight="1" x14ac:dyDescent="0.3"/>
    <row r="462" s="29" customFormat="1" ht="15.75" customHeight="1" x14ac:dyDescent="0.3"/>
    <row r="463" s="29" customFormat="1" ht="15.75" customHeight="1" x14ac:dyDescent="0.3"/>
    <row r="464" s="29" customFormat="1" ht="15.75" customHeight="1" x14ac:dyDescent="0.3"/>
    <row r="465" s="29" customFormat="1" ht="15.75" customHeight="1" x14ac:dyDescent="0.3"/>
    <row r="466" s="29" customFormat="1" ht="15.75" customHeight="1" x14ac:dyDescent="0.3"/>
    <row r="467" s="29" customFormat="1" ht="15.75" customHeight="1" x14ac:dyDescent="0.3"/>
    <row r="468" s="29" customFormat="1" ht="15.75" customHeight="1" x14ac:dyDescent="0.3"/>
    <row r="469" s="29" customFormat="1" ht="15.75" customHeight="1" x14ac:dyDescent="0.3"/>
    <row r="470" s="29" customFormat="1" ht="15.75" customHeight="1" x14ac:dyDescent="0.3"/>
    <row r="471" s="29" customFormat="1" ht="15.75" customHeight="1" x14ac:dyDescent="0.3"/>
    <row r="472" s="29" customFormat="1" ht="15.75" customHeight="1" x14ac:dyDescent="0.3"/>
    <row r="473" s="29" customFormat="1" ht="15.75" customHeight="1" x14ac:dyDescent="0.3"/>
    <row r="474" s="29" customFormat="1" ht="15.75" customHeight="1" x14ac:dyDescent="0.3"/>
    <row r="475" s="29" customFormat="1" ht="15.75" customHeight="1" x14ac:dyDescent="0.3"/>
    <row r="476" s="29" customFormat="1" ht="15.75" customHeight="1" x14ac:dyDescent="0.3"/>
    <row r="477" s="29" customFormat="1" ht="15.75" customHeight="1" x14ac:dyDescent="0.3"/>
    <row r="478" s="29" customFormat="1" ht="15.75" customHeight="1" x14ac:dyDescent="0.3"/>
    <row r="479" s="29" customFormat="1" ht="15.75" customHeight="1" x14ac:dyDescent="0.3"/>
    <row r="480" s="29" customFormat="1" ht="15.75" customHeight="1" x14ac:dyDescent="0.3"/>
    <row r="481" s="29" customFormat="1" ht="15.75" customHeight="1" x14ac:dyDescent="0.3"/>
    <row r="482" s="29" customFormat="1" ht="15.75" customHeight="1" x14ac:dyDescent="0.3"/>
    <row r="483" s="29" customFormat="1" ht="15.75" customHeight="1" x14ac:dyDescent="0.3"/>
    <row r="484" s="29" customFormat="1" ht="15.75" customHeight="1" x14ac:dyDescent="0.3"/>
    <row r="485" s="29" customFormat="1" ht="15.75" customHeight="1" x14ac:dyDescent="0.3"/>
    <row r="486" s="29" customFormat="1" ht="15.75" customHeight="1" x14ac:dyDescent="0.3"/>
    <row r="487" s="29" customFormat="1" ht="15.75" customHeight="1" x14ac:dyDescent="0.3"/>
    <row r="488" s="29" customFormat="1" ht="15.75" customHeight="1" x14ac:dyDescent="0.3"/>
    <row r="489" s="29" customFormat="1" ht="15.75" customHeight="1" x14ac:dyDescent="0.3"/>
    <row r="490" s="29" customFormat="1" ht="15.75" customHeight="1" x14ac:dyDescent="0.3"/>
    <row r="491" s="29" customFormat="1" ht="15.75" customHeight="1" x14ac:dyDescent="0.3"/>
    <row r="492" s="29" customFormat="1" ht="15.75" customHeight="1" x14ac:dyDescent="0.3"/>
    <row r="493" s="29" customFormat="1" ht="15.75" customHeight="1" x14ac:dyDescent="0.3"/>
    <row r="494" s="29" customFormat="1" ht="15.75" customHeight="1" x14ac:dyDescent="0.3"/>
    <row r="495" s="29" customFormat="1" ht="15.75" customHeight="1" x14ac:dyDescent="0.3"/>
    <row r="496" s="29" customFormat="1" ht="15.75" customHeight="1" x14ac:dyDescent="0.3"/>
    <row r="497" s="29" customFormat="1" ht="15.75" customHeight="1" x14ac:dyDescent="0.3"/>
    <row r="498" s="29" customFormat="1" ht="15.75" customHeight="1" x14ac:dyDescent="0.3"/>
    <row r="499" s="29" customFormat="1" ht="15.75" customHeight="1" x14ac:dyDescent="0.3"/>
    <row r="500" s="29" customFormat="1" ht="15.75" customHeight="1" x14ac:dyDescent="0.3"/>
    <row r="501" s="29" customFormat="1" ht="15.75" customHeight="1" x14ac:dyDescent="0.3"/>
    <row r="502" s="29" customFormat="1" ht="15.75" customHeight="1" x14ac:dyDescent="0.3"/>
    <row r="503" s="29" customFormat="1" ht="15.75" customHeight="1" x14ac:dyDescent="0.3"/>
    <row r="504" s="29" customFormat="1" ht="15.75" customHeight="1" x14ac:dyDescent="0.3"/>
    <row r="505" s="29" customFormat="1" ht="15.75" customHeight="1" x14ac:dyDescent="0.3"/>
    <row r="506" s="29" customFormat="1" ht="15.75" customHeight="1" x14ac:dyDescent="0.3"/>
    <row r="507" s="29" customFormat="1" ht="15.75" customHeight="1" x14ac:dyDescent="0.3"/>
    <row r="508" s="29" customFormat="1" ht="15.75" customHeight="1" x14ac:dyDescent="0.3"/>
    <row r="509" s="29" customFormat="1" ht="15.75" customHeight="1" x14ac:dyDescent="0.3"/>
    <row r="510" s="29" customFormat="1" ht="15.75" customHeight="1" x14ac:dyDescent="0.3"/>
    <row r="511" s="29" customFormat="1" ht="15.75" customHeight="1" x14ac:dyDescent="0.3"/>
    <row r="512" s="29" customFormat="1" ht="15.75" customHeight="1" x14ac:dyDescent="0.3"/>
    <row r="513" s="29" customFormat="1" ht="15.75" customHeight="1" x14ac:dyDescent="0.3"/>
    <row r="514" s="29" customFormat="1" ht="15.75" customHeight="1" x14ac:dyDescent="0.3"/>
    <row r="515" s="29" customFormat="1" ht="15.75" customHeight="1" x14ac:dyDescent="0.3"/>
    <row r="516" s="29" customFormat="1" ht="15.75" customHeight="1" x14ac:dyDescent="0.3"/>
    <row r="517" s="29" customFormat="1" ht="15.75" customHeight="1" x14ac:dyDescent="0.3"/>
    <row r="518" s="29" customFormat="1" ht="15.75" customHeight="1" x14ac:dyDescent="0.3"/>
    <row r="519" s="29" customFormat="1" ht="15.75" customHeight="1" x14ac:dyDescent="0.3"/>
    <row r="520" s="29" customFormat="1" ht="15.75" customHeight="1" x14ac:dyDescent="0.3"/>
    <row r="521" s="29" customFormat="1" ht="15.75" customHeight="1" x14ac:dyDescent="0.3"/>
    <row r="522" s="29" customFormat="1" ht="15.75" customHeight="1" x14ac:dyDescent="0.3"/>
    <row r="523" s="29" customFormat="1" ht="15.75" customHeight="1" x14ac:dyDescent="0.3"/>
    <row r="524" s="29" customFormat="1" ht="15.75" customHeight="1" x14ac:dyDescent="0.3"/>
    <row r="525" s="29" customFormat="1" ht="15.75" customHeight="1" x14ac:dyDescent="0.3"/>
    <row r="526" s="29" customFormat="1" ht="15.75" customHeight="1" x14ac:dyDescent="0.3"/>
    <row r="527" s="29" customFormat="1" ht="15.75" customHeight="1" x14ac:dyDescent="0.3"/>
    <row r="528" s="29" customFormat="1" ht="15.75" customHeight="1" x14ac:dyDescent="0.3"/>
    <row r="529" s="29" customFormat="1" ht="15.75" customHeight="1" x14ac:dyDescent="0.3"/>
    <row r="530" s="29" customFormat="1" ht="15.75" customHeight="1" x14ac:dyDescent="0.3"/>
    <row r="531" s="29" customFormat="1" ht="15.75" customHeight="1" x14ac:dyDescent="0.3"/>
    <row r="532" s="29" customFormat="1" ht="15.75" customHeight="1" x14ac:dyDescent="0.3"/>
    <row r="533" s="29" customFormat="1" ht="15.75" customHeight="1" x14ac:dyDescent="0.3"/>
    <row r="534" s="29" customFormat="1" ht="15.75" customHeight="1" x14ac:dyDescent="0.3"/>
    <row r="535" s="29" customFormat="1" ht="15.75" customHeight="1" x14ac:dyDescent="0.3"/>
    <row r="536" s="29" customFormat="1" ht="15.75" customHeight="1" x14ac:dyDescent="0.3"/>
    <row r="537" s="29" customFormat="1" ht="15.75" customHeight="1" x14ac:dyDescent="0.3"/>
    <row r="538" s="29" customFormat="1" ht="15.75" customHeight="1" x14ac:dyDescent="0.3"/>
    <row r="539" s="29" customFormat="1" ht="15.75" customHeight="1" x14ac:dyDescent="0.3"/>
    <row r="540" s="29" customFormat="1" ht="15.75" customHeight="1" x14ac:dyDescent="0.3"/>
    <row r="541" s="29" customFormat="1" ht="15.75" customHeight="1" x14ac:dyDescent="0.3"/>
    <row r="542" s="29" customFormat="1" ht="15.75" customHeight="1" x14ac:dyDescent="0.3"/>
    <row r="543" s="29" customFormat="1" ht="15.75" customHeight="1" x14ac:dyDescent="0.3"/>
    <row r="544" s="29" customFormat="1" ht="15.75" customHeight="1" x14ac:dyDescent="0.3"/>
    <row r="545" s="29" customFormat="1" ht="15.75" customHeight="1" x14ac:dyDescent="0.3"/>
    <row r="546" s="29" customFormat="1" ht="15.75" customHeight="1" x14ac:dyDescent="0.3"/>
    <row r="547" s="29" customFormat="1" ht="15.75" customHeight="1" x14ac:dyDescent="0.3"/>
    <row r="548" s="29" customFormat="1" ht="15.75" customHeight="1" x14ac:dyDescent="0.3"/>
    <row r="549" s="29" customFormat="1" ht="15.75" customHeight="1" x14ac:dyDescent="0.3"/>
    <row r="550" s="29" customFormat="1" ht="15.75" customHeight="1" x14ac:dyDescent="0.3"/>
    <row r="551" s="29" customFormat="1" ht="15.75" customHeight="1" x14ac:dyDescent="0.3"/>
    <row r="552" s="29" customFormat="1" ht="15.75" customHeight="1" x14ac:dyDescent="0.3"/>
    <row r="553" s="29" customFormat="1" ht="15.75" customHeight="1" x14ac:dyDescent="0.3"/>
    <row r="554" s="29" customFormat="1" ht="15.75" customHeight="1" x14ac:dyDescent="0.3"/>
    <row r="555" s="29" customFormat="1" ht="15.75" customHeight="1" x14ac:dyDescent="0.3"/>
    <row r="556" s="29" customFormat="1" ht="15.75" customHeight="1" x14ac:dyDescent="0.3"/>
    <row r="557" s="29" customFormat="1" ht="15.75" customHeight="1" x14ac:dyDescent="0.3"/>
    <row r="558" s="29" customFormat="1" ht="15.75" customHeight="1" x14ac:dyDescent="0.3"/>
    <row r="559" s="29" customFormat="1" ht="15.75" customHeight="1" x14ac:dyDescent="0.3"/>
    <row r="560" s="29" customFormat="1" ht="15.75" customHeight="1" x14ac:dyDescent="0.3"/>
    <row r="561" s="29" customFormat="1" ht="15.75" customHeight="1" x14ac:dyDescent="0.3"/>
    <row r="562" s="29" customFormat="1" ht="15.75" customHeight="1" x14ac:dyDescent="0.3"/>
    <row r="563" s="29" customFormat="1" ht="15.75" customHeight="1" x14ac:dyDescent="0.3"/>
    <row r="564" s="29" customFormat="1" ht="15.75" customHeight="1" x14ac:dyDescent="0.3"/>
    <row r="565" s="29" customFormat="1" ht="15.75" customHeight="1" x14ac:dyDescent="0.3"/>
    <row r="566" s="29" customFormat="1" ht="15.75" customHeight="1" x14ac:dyDescent="0.3"/>
    <row r="567" s="29" customFormat="1" ht="15.75" customHeight="1" x14ac:dyDescent="0.3"/>
    <row r="568" s="29" customFormat="1" ht="15.75" customHeight="1" x14ac:dyDescent="0.3"/>
    <row r="569" s="29" customFormat="1" ht="15.75" customHeight="1" x14ac:dyDescent="0.3"/>
    <row r="570" s="29" customFormat="1" ht="15.75" customHeight="1" x14ac:dyDescent="0.3"/>
    <row r="571" s="29" customFormat="1" ht="15.75" customHeight="1" x14ac:dyDescent="0.3"/>
    <row r="572" s="29" customFormat="1" ht="15.75" customHeight="1" x14ac:dyDescent="0.3"/>
    <row r="573" s="29" customFormat="1" ht="15.75" customHeight="1" x14ac:dyDescent="0.3"/>
    <row r="574" s="29" customFormat="1" ht="15.75" customHeight="1" x14ac:dyDescent="0.3"/>
    <row r="575" s="29" customFormat="1" ht="15.75" customHeight="1" x14ac:dyDescent="0.3"/>
    <row r="576" s="29" customFormat="1" ht="15.75" customHeight="1" x14ac:dyDescent="0.3"/>
    <row r="577" s="29" customFormat="1" ht="15.75" customHeight="1" x14ac:dyDescent="0.3"/>
    <row r="578" s="29" customFormat="1" ht="15.75" customHeight="1" x14ac:dyDescent="0.3"/>
    <row r="579" s="29" customFormat="1" ht="15.75" customHeight="1" x14ac:dyDescent="0.3"/>
    <row r="580" s="29" customFormat="1" ht="15.75" customHeight="1" x14ac:dyDescent="0.3"/>
    <row r="581" s="29" customFormat="1" ht="15.75" customHeight="1" x14ac:dyDescent="0.3"/>
    <row r="582" s="29" customFormat="1" ht="15.75" customHeight="1" x14ac:dyDescent="0.3"/>
    <row r="583" s="29" customFormat="1" ht="15.75" customHeight="1" x14ac:dyDescent="0.3"/>
    <row r="584" s="29" customFormat="1" ht="15.75" customHeight="1" x14ac:dyDescent="0.3"/>
    <row r="585" s="29" customFormat="1" ht="15.75" customHeight="1" x14ac:dyDescent="0.3"/>
    <row r="586" s="29" customFormat="1" ht="15.75" customHeight="1" x14ac:dyDescent="0.3"/>
    <row r="587" s="29" customFormat="1" ht="15.75" customHeight="1" x14ac:dyDescent="0.3"/>
    <row r="588" s="29" customFormat="1" ht="15.75" customHeight="1" x14ac:dyDescent="0.3"/>
    <row r="589" s="29" customFormat="1" ht="15.75" customHeight="1" x14ac:dyDescent="0.3"/>
    <row r="590" s="29" customFormat="1" ht="15.75" customHeight="1" x14ac:dyDescent="0.3"/>
    <row r="591" s="29" customFormat="1" ht="15.75" customHeight="1" x14ac:dyDescent="0.3"/>
    <row r="592" s="29" customFormat="1" ht="15.75" customHeight="1" x14ac:dyDescent="0.3"/>
    <row r="593" s="29" customFormat="1" ht="15.75" customHeight="1" x14ac:dyDescent="0.3"/>
    <row r="594" s="29" customFormat="1" ht="15.75" customHeight="1" x14ac:dyDescent="0.3"/>
    <row r="595" s="29" customFormat="1" ht="15.75" customHeight="1" x14ac:dyDescent="0.3"/>
    <row r="596" s="29" customFormat="1" ht="15.75" customHeight="1" x14ac:dyDescent="0.3"/>
    <row r="597" s="29" customFormat="1" ht="15.75" customHeight="1" x14ac:dyDescent="0.3"/>
    <row r="598" s="29" customFormat="1" ht="15.75" customHeight="1" x14ac:dyDescent="0.3"/>
    <row r="599" s="29" customFormat="1" ht="15.75" customHeight="1" x14ac:dyDescent="0.3"/>
    <row r="600" s="29" customFormat="1" ht="15.75" customHeight="1" x14ac:dyDescent="0.3"/>
    <row r="601" s="29" customFormat="1" ht="15.75" customHeight="1" x14ac:dyDescent="0.3"/>
    <row r="602" s="29" customFormat="1" ht="15.75" customHeight="1" x14ac:dyDescent="0.3"/>
    <row r="603" s="29" customFormat="1" ht="15.75" customHeight="1" x14ac:dyDescent="0.3"/>
    <row r="604" s="29" customFormat="1" ht="15.75" customHeight="1" x14ac:dyDescent="0.3"/>
    <row r="605" s="29" customFormat="1" ht="15.75" customHeight="1" x14ac:dyDescent="0.3"/>
    <row r="606" s="29" customFormat="1" ht="15.75" customHeight="1" x14ac:dyDescent="0.3"/>
    <row r="607" s="29" customFormat="1" ht="15.75" customHeight="1" x14ac:dyDescent="0.3"/>
    <row r="608" s="29" customFormat="1" ht="15.75" customHeight="1" x14ac:dyDescent="0.3"/>
    <row r="609" s="29" customFormat="1" ht="15.75" customHeight="1" x14ac:dyDescent="0.3"/>
    <row r="610" s="29" customFormat="1" ht="15.75" customHeight="1" x14ac:dyDescent="0.3"/>
    <row r="611" s="29" customFormat="1" ht="15.75" customHeight="1" x14ac:dyDescent="0.3"/>
    <row r="612" s="29" customFormat="1" ht="15.75" customHeight="1" x14ac:dyDescent="0.3"/>
    <row r="613" s="29" customFormat="1" ht="15.75" customHeight="1" x14ac:dyDescent="0.3"/>
    <row r="614" s="29" customFormat="1" ht="15.75" customHeight="1" x14ac:dyDescent="0.3"/>
    <row r="615" s="29" customFormat="1" ht="15.75" customHeight="1" x14ac:dyDescent="0.3"/>
    <row r="616" s="29" customFormat="1" ht="15.75" customHeight="1" x14ac:dyDescent="0.3"/>
    <row r="617" s="29" customFormat="1" ht="15.75" customHeight="1" x14ac:dyDescent="0.3"/>
    <row r="618" s="29" customFormat="1" ht="15.75" customHeight="1" x14ac:dyDescent="0.3"/>
    <row r="619" s="29" customFormat="1" ht="15.75" customHeight="1" x14ac:dyDescent="0.3"/>
    <row r="620" s="29" customFormat="1" ht="15.75" customHeight="1" x14ac:dyDescent="0.3"/>
    <row r="621" s="29" customFormat="1" ht="15.75" customHeight="1" x14ac:dyDescent="0.3"/>
    <row r="622" s="29" customFormat="1" ht="15.75" customHeight="1" x14ac:dyDescent="0.3"/>
    <row r="623" s="29" customFormat="1" ht="15.75" customHeight="1" x14ac:dyDescent="0.3"/>
    <row r="624" s="29" customFormat="1" ht="15.75" customHeight="1" x14ac:dyDescent="0.3"/>
    <row r="625" s="29" customFormat="1" ht="15.75" customHeight="1" x14ac:dyDescent="0.3"/>
    <row r="626" s="29" customFormat="1" ht="15.75" customHeight="1" x14ac:dyDescent="0.3"/>
    <row r="627" s="29" customFormat="1" ht="15.75" customHeight="1" x14ac:dyDescent="0.3"/>
    <row r="628" s="29" customFormat="1" ht="15.75" customHeight="1" x14ac:dyDescent="0.3"/>
    <row r="629" s="29" customFormat="1" ht="15.75" customHeight="1" x14ac:dyDescent="0.3"/>
    <row r="630" s="29" customFormat="1" ht="15.75" customHeight="1" x14ac:dyDescent="0.3"/>
    <row r="631" s="29" customFormat="1" ht="15.75" customHeight="1" x14ac:dyDescent="0.3"/>
    <row r="632" s="29" customFormat="1" ht="15.75" customHeight="1" x14ac:dyDescent="0.3"/>
    <row r="633" s="29" customFormat="1" ht="15.75" customHeight="1" x14ac:dyDescent="0.3"/>
    <row r="634" s="29" customFormat="1" ht="15.75" customHeight="1" x14ac:dyDescent="0.3"/>
    <row r="635" s="29" customFormat="1" ht="15.75" customHeight="1" x14ac:dyDescent="0.3"/>
    <row r="636" s="29" customFormat="1" ht="15.75" customHeight="1" x14ac:dyDescent="0.3"/>
    <row r="637" s="29" customFormat="1" ht="15.75" customHeight="1" x14ac:dyDescent="0.3"/>
    <row r="638" s="29" customFormat="1" ht="15.75" customHeight="1" x14ac:dyDescent="0.3"/>
    <row r="639" s="29" customFormat="1" ht="15.75" customHeight="1" x14ac:dyDescent="0.3"/>
    <row r="640" s="29" customFormat="1" ht="15.75" customHeight="1" x14ac:dyDescent="0.3"/>
    <row r="641" s="29" customFormat="1" ht="15.75" customHeight="1" x14ac:dyDescent="0.3"/>
    <row r="642" s="29" customFormat="1" ht="15.75" customHeight="1" x14ac:dyDescent="0.3"/>
    <row r="643" s="29" customFormat="1" ht="15.75" customHeight="1" x14ac:dyDescent="0.3"/>
    <row r="644" s="29" customFormat="1" ht="15.75" customHeight="1" x14ac:dyDescent="0.3"/>
    <row r="645" s="29" customFormat="1" ht="15.75" customHeight="1" x14ac:dyDescent="0.3"/>
    <row r="646" s="29" customFormat="1" ht="15.75" customHeight="1" x14ac:dyDescent="0.3"/>
    <row r="647" s="29" customFormat="1" ht="15.75" customHeight="1" x14ac:dyDescent="0.3"/>
    <row r="648" s="29" customFormat="1" ht="15.75" customHeight="1" x14ac:dyDescent="0.3"/>
    <row r="649" s="29" customFormat="1" ht="15.75" customHeight="1" x14ac:dyDescent="0.3"/>
    <row r="650" s="29" customFormat="1" ht="15.75" customHeight="1" x14ac:dyDescent="0.3"/>
    <row r="651" s="29" customFormat="1" ht="15.75" customHeight="1" x14ac:dyDescent="0.3"/>
    <row r="652" s="29" customFormat="1" ht="15.75" customHeight="1" x14ac:dyDescent="0.3"/>
    <row r="653" s="29" customFormat="1" ht="15.75" customHeight="1" x14ac:dyDescent="0.3"/>
    <row r="654" s="29" customFormat="1" ht="15.75" customHeight="1" x14ac:dyDescent="0.3"/>
    <row r="655" s="29" customFormat="1" ht="15.75" customHeight="1" x14ac:dyDescent="0.3"/>
    <row r="656" s="29" customFormat="1" ht="15.75" customHeight="1" x14ac:dyDescent="0.3"/>
    <row r="657" s="29" customFormat="1" ht="15.75" customHeight="1" x14ac:dyDescent="0.3"/>
    <row r="658" s="29" customFormat="1" ht="15.75" customHeight="1" x14ac:dyDescent="0.3"/>
    <row r="659" s="29" customFormat="1" ht="15.75" customHeight="1" x14ac:dyDescent="0.3"/>
    <row r="660" s="29" customFormat="1" ht="15.75" customHeight="1" x14ac:dyDescent="0.3"/>
    <row r="661" s="29" customFormat="1" ht="15.75" customHeight="1" x14ac:dyDescent="0.3"/>
    <row r="662" s="29" customFormat="1" ht="15.75" customHeight="1" x14ac:dyDescent="0.3"/>
    <row r="663" s="29" customFormat="1" ht="15.75" customHeight="1" x14ac:dyDescent="0.3"/>
    <row r="664" s="29" customFormat="1" ht="15.75" customHeight="1" x14ac:dyDescent="0.3"/>
    <row r="665" s="29" customFormat="1" ht="15.75" customHeight="1" x14ac:dyDescent="0.3"/>
    <row r="666" s="29" customFormat="1" ht="15.75" customHeight="1" x14ac:dyDescent="0.3"/>
    <row r="667" s="29" customFormat="1" ht="15.75" customHeight="1" x14ac:dyDescent="0.3"/>
    <row r="668" s="29" customFormat="1" ht="15.75" customHeight="1" x14ac:dyDescent="0.3"/>
    <row r="669" s="29" customFormat="1" ht="15.75" customHeight="1" x14ac:dyDescent="0.3"/>
    <row r="670" s="29" customFormat="1" ht="15.75" customHeight="1" x14ac:dyDescent="0.3"/>
    <row r="671" s="29" customFormat="1" ht="15.75" customHeight="1" x14ac:dyDescent="0.3"/>
    <row r="672" s="29" customFormat="1" ht="15.75" customHeight="1" x14ac:dyDescent="0.3"/>
    <row r="673" s="29" customFormat="1" ht="15.75" customHeight="1" x14ac:dyDescent="0.3"/>
    <row r="674" s="29" customFormat="1" ht="15.75" customHeight="1" x14ac:dyDescent="0.3"/>
    <row r="675" s="29" customFormat="1" ht="15.75" customHeight="1" x14ac:dyDescent="0.3"/>
    <row r="676" s="29" customFormat="1" ht="15.75" customHeight="1" x14ac:dyDescent="0.3"/>
    <row r="677" s="29" customFormat="1" ht="15.75" customHeight="1" x14ac:dyDescent="0.3"/>
    <row r="678" s="29" customFormat="1" ht="15.75" customHeight="1" x14ac:dyDescent="0.3"/>
    <row r="679" s="29" customFormat="1" ht="15.75" customHeight="1" x14ac:dyDescent="0.3"/>
    <row r="680" s="29" customFormat="1" ht="15.75" customHeight="1" x14ac:dyDescent="0.3"/>
    <row r="681" s="29" customFormat="1" ht="15.75" customHeight="1" x14ac:dyDescent="0.3"/>
    <row r="682" s="29" customFormat="1" ht="15.75" customHeight="1" x14ac:dyDescent="0.3"/>
    <row r="683" s="29" customFormat="1" ht="15.75" customHeight="1" x14ac:dyDescent="0.3"/>
    <row r="684" s="29" customFormat="1" ht="15.75" customHeight="1" x14ac:dyDescent="0.3"/>
    <row r="685" s="29" customFormat="1" ht="15.75" customHeight="1" x14ac:dyDescent="0.3"/>
    <row r="686" s="29" customFormat="1" ht="15.75" customHeight="1" x14ac:dyDescent="0.3"/>
    <row r="687" s="29" customFormat="1" ht="15.75" customHeight="1" x14ac:dyDescent="0.3"/>
    <row r="688" s="29" customFormat="1" ht="15.75" customHeight="1" x14ac:dyDescent="0.3"/>
    <row r="689" s="29" customFormat="1" ht="15.75" customHeight="1" x14ac:dyDescent="0.3"/>
    <row r="690" s="29" customFormat="1" ht="15.75" customHeight="1" x14ac:dyDescent="0.3"/>
    <row r="691" s="29" customFormat="1" ht="15.75" customHeight="1" x14ac:dyDescent="0.3"/>
    <row r="692" s="29" customFormat="1" ht="15.75" customHeight="1" x14ac:dyDescent="0.3"/>
    <row r="693" s="29" customFormat="1" ht="15.75" customHeight="1" x14ac:dyDescent="0.3"/>
    <row r="694" s="29" customFormat="1" ht="15.75" customHeight="1" x14ac:dyDescent="0.3"/>
    <row r="695" s="29" customFormat="1" ht="15.75" customHeight="1" x14ac:dyDescent="0.3"/>
    <row r="696" s="29" customFormat="1" ht="15.75" customHeight="1" x14ac:dyDescent="0.3"/>
    <row r="697" s="29" customFormat="1" ht="15.75" customHeight="1" x14ac:dyDescent="0.3"/>
    <row r="698" s="29" customFormat="1" ht="15.75" customHeight="1" x14ac:dyDescent="0.3"/>
    <row r="699" s="29" customFormat="1" ht="15.75" customHeight="1" x14ac:dyDescent="0.3"/>
    <row r="700" s="29" customFormat="1" ht="15.75" customHeight="1" x14ac:dyDescent="0.3"/>
    <row r="701" s="29" customFormat="1" ht="15.75" customHeight="1" x14ac:dyDescent="0.3"/>
    <row r="702" s="29" customFormat="1" ht="15.75" customHeight="1" x14ac:dyDescent="0.3"/>
    <row r="703" s="29" customFormat="1" ht="15.75" customHeight="1" x14ac:dyDescent="0.3"/>
    <row r="704" s="29" customFormat="1" ht="15.75" customHeight="1" x14ac:dyDescent="0.3"/>
    <row r="705" s="29" customFormat="1" ht="15.75" customHeight="1" x14ac:dyDescent="0.3"/>
    <row r="706" s="29" customFormat="1" ht="15.75" customHeight="1" x14ac:dyDescent="0.3"/>
    <row r="707" s="29" customFormat="1" ht="15.75" customHeight="1" x14ac:dyDescent="0.3"/>
    <row r="708" s="29" customFormat="1" ht="15.75" customHeight="1" x14ac:dyDescent="0.3"/>
    <row r="709" s="29" customFormat="1" ht="15.75" customHeight="1" x14ac:dyDescent="0.3"/>
    <row r="710" s="29" customFormat="1" ht="15.75" customHeight="1" x14ac:dyDescent="0.3"/>
    <row r="711" s="29" customFormat="1" ht="15.75" customHeight="1" x14ac:dyDescent="0.3"/>
    <row r="712" s="29" customFormat="1" ht="15.75" customHeight="1" x14ac:dyDescent="0.3"/>
    <row r="713" s="29" customFormat="1" ht="15.75" customHeight="1" x14ac:dyDescent="0.3"/>
    <row r="714" s="29" customFormat="1" ht="15.75" customHeight="1" x14ac:dyDescent="0.3"/>
    <row r="715" s="29" customFormat="1" ht="15.75" customHeight="1" x14ac:dyDescent="0.3"/>
    <row r="716" s="29" customFormat="1" ht="15.75" customHeight="1" x14ac:dyDescent="0.3"/>
    <row r="717" s="29" customFormat="1" ht="15.75" customHeight="1" x14ac:dyDescent="0.3"/>
    <row r="718" s="29" customFormat="1" ht="15.75" customHeight="1" x14ac:dyDescent="0.3"/>
    <row r="719" s="29" customFormat="1" ht="15.75" customHeight="1" x14ac:dyDescent="0.3"/>
    <row r="720" s="29" customFormat="1" ht="15.75" customHeight="1" x14ac:dyDescent="0.3"/>
    <row r="721" s="29" customFormat="1" ht="15.75" customHeight="1" x14ac:dyDescent="0.3"/>
    <row r="722" s="29" customFormat="1" ht="15.75" customHeight="1" x14ac:dyDescent="0.3"/>
    <row r="723" s="29" customFormat="1" ht="15.75" customHeight="1" x14ac:dyDescent="0.3"/>
    <row r="724" s="29" customFormat="1" ht="15.75" customHeight="1" x14ac:dyDescent="0.3"/>
    <row r="725" s="29" customFormat="1" ht="15.75" customHeight="1" x14ac:dyDescent="0.3"/>
    <row r="726" s="29" customFormat="1" ht="15.75" customHeight="1" x14ac:dyDescent="0.3"/>
    <row r="727" s="29" customFormat="1" ht="15.75" customHeight="1" x14ac:dyDescent="0.3"/>
    <row r="728" s="29" customFormat="1" ht="15.75" customHeight="1" x14ac:dyDescent="0.3"/>
    <row r="729" s="29" customFormat="1" ht="15.75" customHeight="1" x14ac:dyDescent="0.3"/>
    <row r="730" s="29" customFormat="1" ht="15.75" customHeight="1" x14ac:dyDescent="0.3"/>
    <row r="731" s="29" customFormat="1" ht="15.75" customHeight="1" x14ac:dyDescent="0.3"/>
    <row r="732" s="29" customFormat="1" ht="15.75" customHeight="1" x14ac:dyDescent="0.3"/>
    <row r="733" s="29" customFormat="1" ht="15.75" customHeight="1" x14ac:dyDescent="0.3"/>
    <row r="734" s="29" customFormat="1" ht="15.75" customHeight="1" x14ac:dyDescent="0.3"/>
    <row r="735" s="29" customFormat="1" ht="15.75" customHeight="1" x14ac:dyDescent="0.3"/>
    <row r="736" s="29" customFormat="1" ht="15.75" customHeight="1" x14ac:dyDescent="0.3"/>
    <row r="737" s="29" customFormat="1" ht="15.75" customHeight="1" x14ac:dyDescent="0.3"/>
    <row r="738" s="29" customFormat="1" ht="15.75" customHeight="1" x14ac:dyDescent="0.3"/>
    <row r="739" s="29" customFormat="1" ht="15.75" customHeight="1" x14ac:dyDescent="0.3"/>
    <row r="740" s="29" customFormat="1" ht="15.75" customHeight="1" x14ac:dyDescent="0.3"/>
    <row r="741" s="29" customFormat="1" ht="15.75" customHeight="1" x14ac:dyDescent="0.3"/>
    <row r="742" s="29" customFormat="1" ht="15.75" customHeight="1" x14ac:dyDescent="0.3"/>
    <row r="743" s="29" customFormat="1" ht="15.75" customHeight="1" x14ac:dyDescent="0.3"/>
    <row r="744" s="29" customFormat="1" ht="15.75" customHeight="1" x14ac:dyDescent="0.3"/>
    <row r="745" s="29" customFormat="1" ht="15.75" customHeight="1" x14ac:dyDescent="0.3"/>
    <row r="746" s="29" customFormat="1" ht="15.75" customHeight="1" x14ac:dyDescent="0.3"/>
    <row r="747" s="29" customFormat="1" ht="15.75" customHeight="1" x14ac:dyDescent="0.3"/>
    <row r="748" s="29" customFormat="1" ht="15.75" customHeight="1" x14ac:dyDescent="0.3"/>
    <row r="749" s="29" customFormat="1" ht="15.75" customHeight="1" x14ac:dyDescent="0.3"/>
    <row r="750" s="29" customFormat="1" ht="15.75" customHeight="1" x14ac:dyDescent="0.3"/>
    <row r="751" s="29" customFormat="1" ht="15.75" customHeight="1" x14ac:dyDescent="0.3"/>
    <row r="752" s="29" customFormat="1" ht="15.75" customHeight="1" x14ac:dyDescent="0.3"/>
    <row r="753" s="29" customFormat="1" ht="15.75" customHeight="1" x14ac:dyDescent="0.3"/>
    <row r="754" s="29" customFormat="1" ht="15.75" customHeight="1" x14ac:dyDescent="0.3"/>
    <row r="755" s="29" customFormat="1" ht="15.75" customHeight="1" x14ac:dyDescent="0.3"/>
    <row r="756" s="29" customFormat="1" ht="15.75" customHeight="1" x14ac:dyDescent="0.3"/>
    <row r="757" s="29" customFormat="1" ht="15.75" customHeight="1" x14ac:dyDescent="0.3"/>
    <row r="758" s="29" customFormat="1" ht="15.75" customHeight="1" x14ac:dyDescent="0.3"/>
    <row r="759" s="29" customFormat="1" ht="15.75" customHeight="1" x14ac:dyDescent="0.3"/>
    <row r="760" s="29" customFormat="1" ht="15.75" customHeight="1" x14ac:dyDescent="0.3"/>
    <row r="761" s="29" customFormat="1" ht="15.75" customHeight="1" x14ac:dyDescent="0.3"/>
    <row r="762" s="29" customFormat="1" ht="15.75" customHeight="1" x14ac:dyDescent="0.3"/>
    <row r="763" s="29" customFormat="1" ht="15.75" customHeight="1" x14ac:dyDescent="0.3"/>
    <row r="764" s="29" customFormat="1" ht="15.75" customHeight="1" x14ac:dyDescent="0.3"/>
    <row r="765" s="29" customFormat="1" ht="15.75" customHeight="1" x14ac:dyDescent="0.3"/>
    <row r="766" s="29" customFormat="1" ht="15.75" customHeight="1" x14ac:dyDescent="0.3"/>
    <row r="767" s="29" customFormat="1" ht="15.75" customHeight="1" x14ac:dyDescent="0.3"/>
    <row r="768" s="29" customFormat="1" ht="15.75" customHeight="1" x14ac:dyDescent="0.3"/>
    <row r="769" s="29" customFormat="1" ht="15.75" customHeight="1" x14ac:dyDescent="0.3"/>
    <row r="770" s="29" customFormat="1" ht="15.75" customHeight="1" x14ac:dyDescent="0.3"/>
    <row r="771" s="29" customFormat="1" ht="15.75" customHeight="1" x14ac:dyDescent="0.3"/>
    <row r="772" s="29" customFormat="1" ht="15.75" customHeight="1" x14ac:dyDescent="0.3"/>
    <row r="773" s="29" customFormat="1" ht="15.75" customHeight="1" x14ac:dyDescent="0.3"/>
    <row r="774" s="29" customFormat="1" ht="15.75" customHeight="1" x14ac:dyDescent="0.3"/>
    <row r="775" s="29" customFormat="1" ht="15.75" customHeight="1" x14ac:dyDescent="0.3"/>
    <row r="776" s="29" customFormat="1" ht="15.75" customHeight="1" x14ac:dyDescent="0.3"/>
    <row r="777" s="29" customFormat="1" ht="15.75" customHeight="1" x14ac:dyDescent="0.3"/>
    <row r="778" s="29" customFormat="1" ht="15.75" customHeight="1" x14ac:dyDescent="0.3"/>
    <row r="779" s="29" customFormat="1" ht="15.75" customHeight="1" x14ac:dyDescent="0.3"/>
    <row r="780" s="29" customFormat="1" ht="15.75" customHeight="1" x14ac:dyDescent="0.3"/>
    <row r="781" s="29" customFormat="1" ht="15.75" customHeight="1" x14ac:dyDescent="0.3"/>
    <row r="782" s="29" customFormat="1" ht="15.75" customHeight="1" x14ac:dyDescent="0.3"/>
    <row r="783" s="29" customFormat="1" ht="15.75" customHeight="1" x14ac:dyDescent="0.3"/>
    <row r="784" s="29" customFormat="1" ht="15.75" customHeight="1" x14ac:dyDescent="0.3"/>
    <row r="785" s="29" customFormat="1" ht="15.75" customHeight="1" x14ac:dyDescent="0.3"/>
    <row r="786" s="29" customFormat="1" ht="15.75" customHeight="1" x14ac:dyDescent="0.3"/>
    <row r="787" s="29" customFormat="1" ht="15.75" customHeight="1" x14ac:dyDescent="0.3"/>
    <row r="788" s="29" customFormat="1" ht="15.75" customHeight="1" x14ac:dyDescent="0.3"/>
    <row r="789" s="29" customFormat="1" ht="15.75" customHeight="1" x14ac:dyDescent="0.3"/>
    <row r="790" s="29" customFormat="1" ht="15.75" customHeight="1" x14ac:dyDescent="0.3"/>
    <row r="791" s="29" customFormat="1" ht="15.75" customHeight="1" x14ac:dyDescent="0.3"/>
    <row r="792" s="29" customFormat="1" ht="15.75" customHeight="1" x14ac:dyDescent="0.3"/>
    <row r="793" s="29" customFormat="1" ht="15.75" customHeight="1" x14ac:dyDescent="0.3"/>
    <row r="794" s="29" customFormat="1" ht="15.75" customHeight="1" x14ac:dyDescent="0.3"/>
    <row r="795" s="29" customFormat="1" ht="15.75" customHeight="1" x14ac:dyDescent="0.3"/>
    <row r="796" s="29" customFormat="1" ht="15.75" customHeight="1" x14ac:dyDescent="0.3"/>
    <row r="797" s="29" customFormat="1" ht="15.75" customHeight="1" x14ac:dyDescent="0.3"/>
    <row r="798" s="29" customFormat="1" ht="15.75" customHeight="1" x14ac:dyDescent="0.3"/>
    <row r="799" s="29" customFormat="1" ht="15.75" customHeight="1" x14ac:dyDescent="0.3"/>
    <row r="800" s="29" customFormat="1" ht="15.75" customHeight="1" x14ac:dyDescent="0.3"/>
    <row r="801" s="29" customFormat="1" ht="15.75" customHeight="1" x14ac:dyDescent="0.3"/>
    <row r="802" s="29" customFormat="1" ht="15.75" customHeight="1" x14ac:dyDescent="0.3"/>
    <row r="803" s="29" customFormat="1" ht="15.75" customHeight="1" x14ac:dyDescent="0.3"/>
    <row r="804" s="29" customFormat="1" ht="15.75" customHeight="1" x14ac:dyDescent="0.3"/>
    <row r="805" s="29" customFormat="1" ht="15.75" customHeight="1" x14ac:dyDescent="0.3"/>
    <row r="806" s="29" customFormat="1" ht="15.75" customHeight="1" x14ac:dyDescent="0.3"/>
    <row r="807" s="29" customFormat="1" ht="15.75" customHeight="1" x14ac:dyDescent="0.3"/>
    <row r="808" s="29" customFormat="1" ht="15.75" customHeight="1" x14ac:dyDescent="0.3"/>
    <row r="809" s="29" customFormat="1" ht="15.75" customHeight="1" x14ac:dyDescent="0.3"/>
    <row r="810" s="29" customFormat="1" ht="15.75" customHeight="1" x14ac:dyDescent="0.3"/>
    <row r="811" s="29" customFormat="1" ht="15.75" customHeight="1" x14ac:dyDescent="0.3"/>
    <row r="812" s="29" customFormat="1" ht="15.75" customHeight="1" x14ac:dyDescent="0.3"/>
    <row r="813" s="29" customFormat="1" ht="15.75" customHeight="1" x14ac:dyDescent="0.3"/>
    <row r="814" s="29" customFormat="1" ht="15.75" customHeight="1" x14ac:dyDescent="0.3"/>
    <row r="815" s="29" customFormat="1" ht="15.75" customHeight="1" x14ac:dyDescent="0.3"/>
    <row r="816" s="29" customFormat="1" ht="15.75" customHeight="1" x14ac:dyDescent="0.3"/>
    <row r="817" s="29" customFormat="1" ht="15.75" customHeight="1" x14ac:dyDescent="0.3"/>
    <row r="818" s="29" customFormat="1" ht="15.75" customHeight="1" x14ac:dyDescent="0.3"/>
    <row r="819" s="29" customFormat="1" ht="15.75" customHeight="1" x14ac:dyDescent="0.3"/>
    <row r="820" s="29" customFormat="1" ht="15.75" customHeight="1" x14ac:dyDescent="0.3"/>
    <row r="821" s="29" customFormat="1" ht="15.75" customHeight="1" x14ac:dyDescent="0.3"/>
    <row r="822" s="29" customFormat="1" ht="15.75" customHeight="1" x14ac:dyDescent="0.3"/>
    <row r="823" s="29" customFormat="1" ht="15.75" customHeight="1" x14ac:dyDescent="0.3"/>
    <row r="824" s="29" customFormat="1" ht="15.75" customHeight="1" x14ac:dyDescent="0.3"/>
    <row r="825" s="29" customFormat="1" ht="15.75" customHeight="1" x14ac:dyDescent="0.3"/>
    <row r="826" s="29" customFormat="1" ht="15.75" customHeight="1" x14ac:dyDescent="0.3"/>
    <row r="827" s="29" customFormat="1" ht="15.75" customHeight="1" x14ac:dyDescent="0.3"/>
    <row r="828" s="29" customFormat="1" ht="15.75" customHeight="1" x14ac:dyDescent="0.3"/>
    <row r="829" s="29" customFormat="1" ht="15.75" customHeight="1" x14ac:dyDescent="0.3"/>
    <row r="830" s="29" customFormat="1" ht="15.75" customHeight="1" x14ac:dyDescent="0.3"/>
    <row r="831" s="29" customFormat="1" ht="15.75" customHeight="1" x14ac:dyDescent="0.3"/>
    <row r="832" s="29" customFormat="1" ht="15.75" customHeight="1" x14ac:dyDescent="0.3"/>
    <row r="833" s="29" customFormat="1" ht="15.75" customHeight="1" x14ac:dyDescent="0.3"/>
    <row r="834" s="29" customFormat="1" ht="15.75" customHeight="1" x14ac:dyDescent="0.3"/>
    <row r="835" s="29" customFormat="1" ht="15.75" customHeight="1" x14ac:dyDescent="0.3"/>
    <row r="836" s="29" customFormat="1" ht="15.75" customHeight="1" x14ac:dyDescent="0.3"/>
    <row r="837" s="29" customFormat="1" ht="15.75" customHeight="1" x14ac:dyDescent="0.3"/>
    <row r="838" s="29" customFormat="1" ht="15.75" customHeight="1" x14ac:dyDescent="0.3"/>
    <row r="839" s="29" customFormat="1" ht="15.75" customHeight="1" x14ac:dyDescent="0.3"/>
    <row r="840" s="29" customFormat="1" ht="15.75" customHeight="1" x14ac:dyDescent="0.3"/>
    <row r="841" s="29" customFormat="1" ht="15.75" customHeight="1" x14ac:dyDescent="0.3"/>
    <row r="842" s="29" customFormat="1" ht="15.75" customHeight="1" x14ac:dyDescent="0.3"/>
    <row r="843" s="29" customFormat="1" ht="15.75" customHeight="1" x14ac:dyDescent="0.3"/>
    <row r="844" s="29" customFormat="1" ht="15.75" customHeight="1" x14ac:dyDescent="0.3"/>
    <row r="845" s="29" customFormat="1" ht="15.75" customHeight="1" x14ac:dyDescent="0.3"/>
    <row r="846" s="29" customFormat="1" ht="15.75" customHeight="1" x14ac:dyDescent="0.3"/>
    <row r="847" s="29" customFormat="1" ht="15.75" customHeight="1" x14ac:dyDescent="0.3"/>
    <row r="848" s="29" customFormat="1" ht="15.75" customHeight="1" x14ac:dyDescent="0.3"/>
    <row r="849" s="29" customFormat="1" ht="15.75" customHeight="1" x14ac:dyDescent="0.3"/>
    <row r="850" s="29" customFormat="1" ht="15.75" customHeight="1" x14ac:dyDescent="0.3"/>
    <row r="851" s="29" customFormat="1" ht="15.75" customHeight="1" x14ac:dyDescent="0.3"/>
    <row r="852" s="29" customFormat="1" ht="15.75" customHeight="1" x14ac:dyDescent="0.3"/>
    <row r="853" s="29" customFormat="1" ht="15.75" customHeight="1" x14ac:dyDescent="0.3"/>
    <row r="854" s="29" customFormat="1" ht="15.75" customHeight="1" x14ac:dyDescent="0.3"/>
    <row r="855" s="29" customFormat="1" ht="15.75" customHeight="1" x14ac:dyDescent="0.3"/>
    <row r="856" s="29" customFormat="1" ht="15.75" customHeight="1" x14ac:dyDescent="0.3"/>
    <row r="857" s="29" customFormat="1" ht="15.75" customHeight="1" x14ac:dyDescent="0.3"/>
    <row r="858" s="29" customFormat="1" ht="15.75" customHeight="1" x14ac:dyDescent="0.3"/>
    <row r="859" s="29" customFormat="1" ht="15.75" customHeight="1" x14ac:dyDescent="0.3"/>
    <row r="860" s="29" customFormat="1" ht="15.75" customHeight="1" x14ac:dyDescent="0.3"/>
    <row r="861" s="29" customFormat="1" ht="15.75" customHeight="1" x14ac:dyDescent="0.3"/>
    <row r="862" s="29" customFormat="1" ht="15.75" customHeight="1" x14ac:dyDescent="0.3"/>
    <row r="863" s="29" customFormat="1" ht="15.75" customHeight="1" x14ac:dyDescent="0.3"/>
    <row r="864" s="29" customFormat="1" ht="15.75" customHeight="1" x14ac:dyDescent="0.3"/>
    <row r="865" s="29" customFormat="1" ht="15.75" customHeight="1" x14ac:dyDescent="0.3"/>
    <row r="866" s="29" customFormat="1" ht="15.75" customHeight="1" x14ac:dyDescent="0.3"/>
    <row r="867" s="29" customFormat="1" ht="15.75" customHeight="1" x14ac:dyDescent="0.3"/>
    <row r="868" s="29" customFormat="1" ht="15.75" customHeight="1" x14ac:dyDescent="0.3"/>
    <row r="869" s="29" customFormat="1" ht="15.75" customHeight="1" x14ac:dyDescent="0.3"/>
    <row r="870" s="29" customFormat="1" ht="15.75" customHeight="1" x14ac:dyDescent="0.3"/>
    <row r="871" s="29" customFormat="1" ht="15.75" customHeight="1" x14ac:dyDescent="0.3"/>
    <row r="872" s="29" customFormat="1" ht="15.75" customHeight="1" x14ac:dyDescent="0.3"/>
    <row r="873" s="29" customFormat="1" ht="15.75" customHeight="1" x14ac:dyDescent="0.3"/>
    <row r="874" s="29" customFormat="1" ht="15.75" customHeight="1" x14ac:dyDescent="0.3"/>
    <row r="875" s="29" customFormat="1" ht="15.75" customHeight="1" x14ac:dyDescent="0.3"/>
    <row r="876" s="29" customFormat="1" ht="15.75" customHeight="1" x14ac:dyDescent="0.3"/>
    <row r="877" s="29" customFormat="1" ht="15.75" customHeight="1" x14ac:dyDescent="0.3"/>
    <row r="878" s="29" customFormat="1" ht="15.75" customHeight="1" x14ac:dyDescent="0.3"/>
    <row r="879" s="29" customFormat="1" ht="15.75" customHeight="1" x14ac:dyDescent="0.3"/>
    <row r="880" s="29" customFormat="1" ht="15.75" customHeight="1" x14ac:dyDescent="0.3"/>
    <row r="881" s="29" customFormat="1" ht="15.75" customHeight="1" x14ac:dyDescent="0.3"/>
    <row r="882" s="29" customFormat="1" ht="15.75" customHeight="1" x14ac:dyDescent="0.3"/>
    <row r="883" s="29" customFormat="1" ht="15.75" customHeight="1" x14ac:dyDescent="0.3"/>
    <row r="884" s="29" customFormat="1" ht="15.75" customHeight="1" x14ac:dyDescent="0.3"/>
    <row r="885" s="29" customFormat="1" ht="15.75" customHeight="1" x14ac:dyDescent="0.3"/>
    <row r="886" s="29" customFormat="1" ht="15.75" customHeight="1" x14ac:dyDescent="0.3"/>
    <row r="887" s="29" customFormat="1" ht="15.75" customHeight="1" x14ac:dyDescent="0.3"/>
    <row r="888" s="29" customFormat="1" ht="15.75" customHeight="1" x14ac:dyDescent="0.3"/>
    <row r="889" s="29" customFormat="1" ht="15.75" customHeight="1" x14ac:dyDescent="0.3"/>
    <row r="890" s="29" customFormat="1" ht="15.75" customHeight="1" x14ac:dyDescent="0.3"/>
    <row r="891" s="29" customFormat="1" ht="15.75" customHeight="1" x14ac:dyDescent="0.3"/>
    <row r="892" s="29" customFormat="1" ht="15.75" customHeight="1" x14ac:dyDescent="0.3"/>
    <row r="893" s="29" customFormat="1" ht="15.75" customHeight="1" x14ac:dyDescent="0.3"/>
    <row r="894" s="29" customFormat="1" ht="15.75" customHeight="1" x14ac:dyDescent="0.3"/>
    <row r="895" s="29" customFormat="1" ht="15.75" customHeight="1" x14ac:dyDescent="0.3"/>
    <row r="896" s="29" customFormat="1" ht="15.75" customHeight="1" x14ac:dyDescent="0.3"/>
    <row r="897" s="29" customFormat="1" ht="15.75" customHeight="1" x14ac:dyDescent="0.3"/>
    <row r="898" s="29" customFormat="1" ht="15.75" customHeight="1" x14ac:dyDescent="0.3"/>
    <row r="899" s="29" customFormat="1" ht="15.75" customHeight="1" x14ac:dyDescent="0.3"/>
    <row r="900" s="29" customFormat="1" ht="15.75" customHeight="1" x14ac:dyDescent="0.3"/>
    <row r="901" s="29" customFormat="1" ht="15.75" customHeight="1" x14ac:dyDescent="0.3"/>
    <row r="902" s="29" customFormat="1" ht="15.75" customHeight="1" x14ac:dyDescent="0.3"/>
    <row r="903" s="29" customFormat="1" ht="15.75" customHeight="1" x14ac:dyDescent="0.3"/>
    <row r="904" s="29" customFormat="1" ht="15.75" customHeight="1" x14ac:dyDescent="0.3"/>
    <row r="905" s="29" customFormat="1" ht="15.75" customHeight="1" x14ac:dyDescent="0.3"/>
    <row r="906" s="29" customFormat="1" ht="15.75" customHeight="1" x14ac:dyDescent="0.3"/>
    <row r="907" s="29" customFormat="1" ht="15.75" customHeight="1" x14ac:dyDescent="0.3"/>
    <row r="908" s="29" customFormat="1" ht="15.75" customHeight="1" x14ac:dyDescent="0.3"/>
    <row r="909" s="29" customFormat="1" ht="15.75" customHeight="1" x14ac:dyDescent="0.3"/>
    <row r="910" s="29" customFormat="1" ht="15.75" customHeight="1" x14ac:dyDescent="0.3"/>
    <row r="911" s="29" customFormat="1" ht="15.75" customHeight="1" x14ac:dyDescent="0.3"/>
    <row r="912" s="29" customFormat="1" ht="15.75" customHeight="1" x14ac:dyDescent="0.3"/>
    <row r="913" s="29" customFormat="1" ht="15.75" customHeight="1" x14ac:dyDescent="0.3"/>
    <row r="914" s="29" customFormat="1" ht="15.75" customHeight="1" x14ac:dyDescent="0.3"/>
    <row r="915" s="29" customFormat="1" ht="15.75" customHeight="1" x14ac:dyDescent="0.3"/>
    <row r="916" s="29" customFormat="1" ht="15.75" customHeight="1" x14ac:dyDescent="0.3"/>
    <row r="917" s="29" customFormat="1" ht="15.75" customHeight="1" x14ac:dyDescent="0.3"/>
    <row r="918" s="29" customFormat="1" ht="15.75" customHeight="1" x14ac:dyDescent="0.3"/>
    <row r="919" s="29" customFormat="1" ht="15.75" customHeight="1" x14ac:dyDescent="0.3"/>
    <row r="920" s="29" customFormat="1" ht="15.75" customHeight="1" x14ac:dyDescent="0.3"/>
    <row r="921" s="29" customFormat="1" ht="15.75" customHeight="1" x14ac:dyDescent="0.3"/>
    <row r="922" s="29" customFormat="1" ht="15.75" customHeight="1" x14ac:dyDescent="0.3"/>
    <row r="923" s="29" customFormat="1" ht="15.75" customHeight="1" x14ac:dyDescent="0.3"/>
    <row r="924" s="29" customFormat="1" ht="15.75" customHeight="1" x14ac:dyDescent="0.3"/>
    <row r="925" s="29" customFormat="1" ht="15.75" customHeight="1" x14ac:dyDescent="0.3"/>
    <row r="926" s="29" customFormat="1" ht="15.75" customHeight="1" x14ac:dyDescent="0.3"/>
    <row r="927" s="29" customFormat="1" ht="15.75" customHeight="1" x14ac:dyDescent="0.3"/>
    <row r="928" s="29" customFormat="1" ht="15.75" customHeight="1" x14ac:dyDescent="0.3"/>
    <row r="929" s="29" customFormat="1" ht="15.75" customHeight="1" x14ac:dyDescent="0.3"/>
    <row r="930" s="29" customFormat="1" ht="15.75" customHeight="1" x14ac:dyDescent="0.3"/>
    <row r="931" s="29" customFormat="1" ht="15.75" customHeight="1" x14ac:dyDescent="0.3"/>
    <row r="932" s="29" customFormat="1" ht="15.75" customHeight="1" x14ac:dyDescent="0.3"/>
    <row r="933" s="29" customFormat="1" ht="15.75" customHeight="1" x14ac:dyDescent="0.3"/>
    <row r="934" s="29" customFormat="1" ht="15.75" customHeight="1" x14ac:dyDescent="0.3"/>
    <row r="935" s="29" customFormat="1" ht="15.75" customHeight="1" x14ac:dyDescent="0.3"/>
    <row r="936" s="29" customFormat="1" ht="15.75" customHeight="1" x14ac:dyDescent="0.3"/>
    <row r="937" s="29" customFormat="1" ht="15.75" customHeight="1" x14ac:dyDescent="0.3"/>
    <row r="938" s="29" customFormat="1" ht="15.75" customHeight="1" x14ac:dyDescent="0.3"/>
    <row r="939" s="29" customFormat="1" ht="15.75" customHeight="1" x14ac:dyDescent="0.3"/>
    <row r="940" s="29" customFormat="1" ht="15.75" customHeight="1" x14ac:dyDescent="0.3"/>
    <row r="941" s="29" customFormat="1" ht="15.75" customHeight="1" x14ac:dyDescent="0.3"/>
    <row r="942" s="29" customFormat="1" ht="15.75" customHeight="1" x14ac:dyDescent="0.3"/>
    <row r="943" s="29" customFormat="1" ht="15.75" customHeight="1" x14ac:dyDescent="0.3"/>
    <row r="944" s="29" customFormat="1" ht="15.75" customHeight="1" x14ac:dyDescent="0.3"/>
    <row r="945" s="29" customFormat="1" ht="15.75" customHeight="1" x14ac:dyDescent="0.3"/>
    <row r="946" s="29" customFormat="1" ht="15.75" customHeight="1" x14ac:dyDescent="0.3"/>
    <row r="947" s="29" customFormat="1" ht="15.75" customHeight="1" x14ac:dyDescent="0.3"/>
    <row r="948" s="29" customFormat="1" ht="15.75" customHeight="1" x14ac:dyDescent="0.3"/>
    <row r="949" s="29" customFormat="1" ht="15.75" customHeight="1" x14ac:dyDescent="0.3"/>
    <row r="950" s="29" customFormat="1" ht="15.75" customHeight="1" x14ac:dyDescent="0.3"/>
    <row r="951" s="29" customFormat="1" ht="15.75" customHeight="1" x14ac:dyDescent="0.3"/>
    <row r="952" s="29" customFormat="1" ht="15.75" customHeight="1" x14ac:dyDescent="0.3"/>
    <row r="953" s="29" customFormat="1" ht="15.75" customHeight="1" x14ac:dyDescent="0.3"/>
    <row r="954" s="29" customFormat="1" ht="15.75" customHeight="1" x14ac:dyDescent="0.3"/>
    <row r="955" s="29" customFormat="1" ht="15.75" customHeight="1" x14ac:dyDescent="0.3"/>
    <row r="956" s="29" customFormat="1" ht="15.75" customHeight="1" x14ac:dyDescent="0.3"/>
    <row r="957" s="29" customFormat="1" ht="15.75" customHeight="1" x14ac:dyDescent="0.3"/>
    <row r="958" s="29" customFormat="1" ht="15.75" customHeight="1" x14ac:dyDescent="0.3"/>
    <row r="959" s="29" customFormat="1" ht="15.75" customHeight="1" x14ac:dyDescent="0.3"/>
    <row r="960" s="29" customFormat="1" ht="15.75" customHeight="1" x14ac:dyDescent="0.3"/>
    <row r="961" s="29" customFormat="1" ht="15.75" customHeight="1" x14ac:dyDescent="0.3"/>
    <row r="962" s="29" customFormat="1" ht="15.75" customHeight="1" x14ac:dyDescent="0.3"/>
    <row r="963" s="29" customFormat="1" ht="15.75" customHeight="1" x14ac:dyDescent="0.3"/>
    <row r="964" s="29" customFormat="1" ht="15.75" customHeight="1" x14ac:dyDescent="0.3"/>
    <row r="965" s="29" customFormat="1" ht="15.75" customHeight="1" x14ac:dyDescent="0.3"/>
    <row r="966" s="29" customFormat="1" ht="15.75" customHeight="1" x14ac:dyDescent="0.3"/>
    <row r="967" s="29" customFormat="1" ht="15.75" customHeight="1" x14ac:dyDescent="0.3"/>
    <row r="968" s="29" customFormat="1" ht="15.75" customHeight="1" x14ac:dyDescent="0.3"/>
    <row r="969" s="29" customFormat="1" ht="15.75" customHeight="1" x14ac:dyDescent="0.3"/>
    <row r="970" s="29" customFormat="1" ht="15.75" customHeight="1" x14ac:dyDescent="0.3"/>
    <row r="971" s="29" customFormat="1" ht="15.75" customHeight="1" x14ac:dyDescent="0.3"/>
    <row r="972" s="29" customFormat="1" ht="15.75" customHeight="1" x14ac:dyDescent="0.3"/>
    <row r="973" s="29" customFormat="1" ht="15.75" customHeight="1" x14ac:dyDescent="0.3"/>
    <row r="974" s="29" customFormat="1" ht="15.75" customHeight="1" x14ac:dyDescent="0.3"/>
    <row r="975" s="29" customFormat="1" ht="15.75" customHeight="1" x14ac:dyDescent="0.3"/>
    <row r="976" s="29" customFormat="1" ht="15.75" customHeight="1" x14ac:dyDescent="0.3"/>
    <row r="977" s="29" customFormat="1" ht="15.75" customHeight="1" x14ac:dyDescent="0.3"/>
    <row r="978" s="29" customFormat="1" ht="15.75" customHeight="1" x14ac:dyDescent="0.3"/>
    <row r="979" s="29" customFormat="1" ht="15.75" customHeight="1" x14ac:dyDescent="0.3"/>
    <row r="980" s="29" customFormat="1" ht="15.75" customHeight="1" x14ac:dyDescent="0.3"/>
    <row r="981" s="29" customFormat="1" ht="15.75" customHeight="1" x14ac:dyDescent="0.3"/>
    <row r="982" s="29" customFormat="1" ht="15.75" customHeight="1" x14ac:dyDescent="0.3"/>
    <row r="983" s="29" customFormat="1" ht="15.75" customHeight="1" x14ac:dyDescent="0.3"/>
    <row r="984" s="29" customFormat="1" ht="15.75" customHeight="1" x14ac:dyDescent="0.3"/>
    <row r="985" s="29" customFormat="1" ht="15.75" customHeight="1" x14ac:dyDescent="0.3"/>
    <row r="986" s="29" customFormat="1" ht="15.75" customHeight="1" x14ac:dyDescent="0.3"/>
    <row r="987" s="29" customFormat="1" ht="15.75" customHeight="1" x14ac:dyDescent="0.3"/>
    <row r="988" s="29" customFormat="1" ht="15.75" customHeight="1" x14ac:dyDescent="0.3"/>
    <row r="989" s="29" customFormat="1" ht="15.75" customHeight="1" x14ac:dyDescent="0.3"/>
    <row r="990" s="29" customFormat="1" ht="15.75" customHeight="1" x14ac:dyDescent="0.3"/>
    <row r="991" s="29" customFormat="1" ht="15.75" customHeight="1" x14ac:dyDescent="0.3"/>
    <row r="992" s="29" customFormat="1" ht="15.75" customHeight="1" x14ac:dyDescent="0.3"/>
    <row r="993" s="29" customFormat="1" ht="15.75" customHeight="1" x14ac:dyDescent="0.3"/>
    <row r="994" s="29" customFormat="1" ht="15.75" customHeight="1" x14ac:dyDescent="0.3"/>
    <row r="995" s="29" customFormat="1" ht="15.75" customHeight="1" x14ac:dyDescent="0.3"/>
    <row r="996" s="29" customFormat="1" ht="15.75" customHeight="1" x14ac:dyDescent="0.3"/>
    <row r="997" s="29" customFormat="1" ht="15.75" customHeight="1" x14ac:dyDescent="0.3"/>
    <row r="998" s="29" customFormat="1" ht="15.75" customHeight="1" x14ac:dyDescent="0.3"/>
    <row r="999" s="29" customFormat="1" ht="15.75" customHeight="1" x14ac:dyDescent="0.3"/>
    <row r="1000" s="29" customFormat="1" ht="15.75" customHeight="1" x14ac:dyDescent="0.3"/>
  </sheetData>
  <pageMargins left="0.78740157499999996" right="0.78740157499999996" top="0.984251969" bottom="0.984251969"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topLeftCell="A25" zoomScale="160" zoomScaleNormal="160" workbookViewId="0"/>
  </sheetViews>
  <sheetFormatPr defaultColWidth="12.6640625" defaultRowHeight="15" customHeight="1" x14ac:dyDescent="0.3"/>
  <cols>
    <col min="1" max="1" width="27.109375" style="29" customWidth="1"/>
    <col min="2" max="5" width="10.109375" style="29" customWidth="1"/>
    <col min="6" max="13" width="10.33203125" style="29" customWidth="1"/>
    <col min="14" max="14" width="14" style="29" customWidth="1"/>
    <col min="15" max="26" width="9.109375" style="29" customWidth="1"/>
    <col min="27" max="16384" width="12.6640625" style="29"/>
  </cols>
  <sheetData>
    <row r="1" spans="1:26" ht="34.799999999999997" customHeight="1" x14ac:dyDescent="0.35">
      <c r="A1" s="48" t="s">
        <v>18</v>
      </c>
      <c r="B1" s="35"/>
      <c r="C1" s="35"/>
      <c r="D1" s="35"/>
      <c r="E1" s="35"/>
      <c r="F1" s="35"/>
      <c r="G1" s="35"/>
      <c r="H1" s="35"/>
      <c r="I1" s="35"/>
      <c r="J1" s="35"/>
      <c r="K1" s="35"/>
      <c r="L1" s="35"/>
      <c r="M1" s="35"/>
      <c r="N1" s="35"/>
      <c r="O1" s="35"/>
      <c r="P1" s="35"/>
      <c r="Q1" s="35"/>
      <c r="R1" s="35"/>
      <c r="S1" s="35"/>
      <c r="T1" s="35"/>
      <c r="U1" s="35"/>
      <c r="V1" s="35"/>
      <c r="W1" s="35"/>
      <c r="X1" s="35"/>
      <c r="Y1" s="35"/>
      <c r="Z1" s="35"/>
    </row>
    <row r="2" spans="1:26" ht="10.5" customHeight="1" x14ac:dyDescent="0.3">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0.5" customHeight="1" x14ac:dyDescent="0.3">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0.5" customHeight="1" x14ac:dyDescent="0.3">
      <c r="A4" s="38" t="s">
        <v>13</v>
      </c>
      <c r="B4" s="38">
        <v>1</v>
      </c>
      <c r="C4" s="38">
        <v>2</v>
      </c>
      <c r="D4" s="38">
        <v>3</v>
      </c>
      <c r="E4" s="38">
        <v>4</v>
      </c>
      <c r="F4" s="38">
        <v>5</v>
      </c>
      <c r="G4" s="38">
        <v>6</v>
      </c>
      <c r="H4" s="38">
        <v>7</v>
      </c>
      <c r="I4" s="38">
        <v>8</v>
      </c>
      <c r="J4" s="38">
        <v>9</v>
      </c>
      <c r="K4" s="38">
        <v>10</v>
      </c>
      <c r="L4" s="38">
        <v>11</v>
      </c>
      <c r="M4" s="38">
        <v>12</v>
      </c>
      <c r="N4" s="39" t="s">
        <v>14</v>
      </c>
      <c r="O4" s="35"/>
      <c r="P4" s="35"/>
      <c r="Q4" s="35"/>
      <c r="R4" s="35"/>
      <c r="S4" s="35"/>
      <c r="T4" s="35"/>
      <c r="U4" s="35"/>
      <c r="V4" s="35"/>
      <c r="W4" s="35"/>
      <c r="X4" s="35"/>
      <c r="Y4" s="35"/>
      <c r="Z4" s="35"/>
    </row>
    <row r="5" spans="1:26" ht="10.5" customHeight="1" x14ac:dyDescent="0.3">
      <c r="A5" s="40" t="s">
        <v>15</v>
      </c>
      <c r="B5" s="41">
        <f>B7+B11+B15+B19+B23+B27+B31+B35+B39+B43</f>
        <v>13150</v>
      </c>
      <c r="C5" s="41">
        <f>C7+C11+C15+C19+C23+C27+C31+C35+C39+C43</f>
        <v>23700</v>
      </c>
      <c r="D5" s="41">
        <f t="shared" ref="D5:N5" si="0">D7+D11+D15+D19+D23+D27+D31+D35+D39+D43</f>
        <v>27325</v>
      </c>
      <c r="E5" s="41">
        <f t="shared" si="0"/>
        <v>33475</v>
      </c>
      <c r="F5" s="41">
        <f t="shared" si="0"/>
        <v>34400</v>
      </c>
      <c r="G5" s="41">
        <f t="shared" si="0"/>
        <v>38050</v>
      </c>
      <c r="H5" s="41">
        <f t="shared" si="0"/>
        <v>40700</v>
      </c>
      <c r="I5" s="41">
        <f t="shared" si="0"/>
        <v>44425</v>
      </c>
      <c r="J5" s="41">
        <f t="shared" si="0"/>
        <v>49050</v>
      </c>
      <c r="K5" s="41">
        <f>K7+K11+K15+K19+K23+K27+K31+K35+K39+K43</f>
        <v>54700</v>
      </c>
      <c r="L5" s="41">
        <f t="shared" si="0"/>
        <v>61150</v>
      </c>
      <c r="M5" s="41">
        <f t="shared" si="0"/>
        <v>62650</v>
      </c>
      <c r="N5" s="41">
        <f t="shared" si="0"/>
        <v>482775</v>
      </c>
      <c r="O5" s="35"/>
      <c r="P5" s="35"/>
      <c r="Q5" s="35"/>
      <c r="R5" s="35"/>
      <c r="S5" s="35"/>
      <c r="T5" s="35"/>
      <c r="U5" s="35"/>
      <c r="V5" s="35"/>
      <c r="W5" s="35"/>
      <c r="X5" s="35"/>
      <c r="Y5" s="35"/>
      <c r="Z5" s="35"/>
    </row>
    <row r="6" spans="1:26" ht="10.5" customHeight="1" x14ac:dyDescent="0.3">
      <c r="A6" s="40"/>
      <c r="B6" s="35"/>
      <c r="C6" s="35"/>
      <c r="D6" s="35"/>
      <c r="E6" s="35"/>
      <c r="F6" s="35"/>
      <c r="G6" s="35"/>
      <c r="H6" s="35"/>
      <c r="I6" s="35"/>
      <c r="J6" s="35"/>
      <c r="K6" s="35"/>
      <c r="L6" s="35"/>
      <c r="M6" s="35"/>
      <c r="N6" s="35"/>
      <c r="O6" s="35"/>
      <c r="P6" s="35"/>
      <c r="Q6" s="35"/>
      <c r="R6" s="35"/>
      <c r="S6" s="35"/>
      <c r="T6" s="35"/>
      <c r="U6" s="35"/>
      <c r="V6" s="35"/>
      <c r="W6" s="35"/>
      <c r="X6" s="35"/>
      <c r="Y6" s="35"/>
      <c r="Z6" s="35"/>
    </row>
    <row r="7" spans="1:26" ht="10.5" customHeight="1" x14ac:dyDescent="0.3">
      <c r="A7" s="43" t="str">
        <f>"Custo Total de "&amp;InformacoesBasicas!C16</f>
        <v>Custo Total de produto 1</v>
      </c>
      <c r="B7" s="44">
        <f t="shared" ref="B7:M7" si="1">B8*B9</f>
        <v>300</v>
      </c>
      <c r="C7" s="44">
        <f t="shared" si="1"/>
        <v>750</v>
      </c>
      <c r="D7" s="44">
        <f t="shared" si="1"/>
        <v>1125</v>
      </c>
      <c r="E7" s="44">
        <f t="shared" si="1"/>
        <v>1500</v>
      </c>
      <c r="F7" s="44">
        <f t="shared" si="1"/>
        <v>1800</v>
      </c>
      <c r="G7" s="44">
        <f t="shared" si="1"/>
        <v>3000</v>
      </c>
      <c r="H7" s="44">
        <f t="shared" si="1"/>
        <v>3000</v>
      </c>
      <c r="I7" s="44">
        <f t="shared" si="1"/>
        <v>3000</v>
      </c>
      <c r="J7" s="44">
        <f t="shared" si="1"/>
        <v>3000</v>
      </c>
      <c r="K7" s="44">
        <f t="shared" si="1"/>
        <v>3000</v>
      </c>
      <c r="L7" s="44">
        <f t="shared" si="1"/>
        <v>3750</v>
      </c>
      <c r="M7" s="44">
        <f t="shared" si="1"/>
        <v>4200</v>
      </c>
      <c r="N7" s="45">
        <f>SUM(B7:M7)</f>
        <v>28425</v>
      </c>
      <c r="O7" s="35"/>
      <c r="P7" s="35"/>
      <c r="Q7" s="35"/>
      <c r="R7" s="35"/>
      <c r="S7" s="35"/>
      <c r="T7" s="35"/>
      <c r="U7" s="35"/>
      <c r="V7" s="35"/>
      <c r="W7" s="35"/>
      <c r="X7" s="35"/>
      <c r="Y7" s="35"/>
      <c r="Z7" s="35"/>
    </row>
    <row r="8" spans="1:26" ht="10.5" customHeight="1" x14ac:dyDescent="0.3">
      <c r="A8" s="35" t="str">
        <f>IF(InformacoesBasicas!B10=1,"Custo de Aquisição de ",IF(InformacoesBasicas!B10=2,"Custo de Prestação de Serviço de ",IF(InformacoesBasicas!B10=3,"Custo de Fabricação de ","Custo de")))&amp;InformacoesBasicas!C16</f>
        <v>Custo de Prestação de Serviço de produto 1</v>
      </c>
      <c r="B8" s="63">
        <f>'Custo Unitário'!B4</f>
        <v>15</v>
      </c>
      <c r="C8" s="63">
        <f t="shared" ref="C8:M8" si="2">$B8</f>
        <v>15</v>
      </c>
      <c r="D8" s="63">
        <f t="shared" si="2"/>
        <v>15</v>
      </c>
      <c r="E8" s="63">
        <f t="shared" si="2"/>
        <v>15</v>
      </c>
      <c r="F8" s="63">
        <f t="shared" si="2"/>
        <v>15</v>
      </c>
      <c r="G8" s="63">
        <f t="shared" si="2"/>
        <v>15</v>
      </c>
      <c r="H8" s="63">
        <f t="shared" si="2"/>
        <v>15</v>
      </c>
      <c r="I8" s="63">
        <f t="shared" si="2"/>
        <v>15</v>
      </c>
      <c r="J8" s="63">
        <f t="shared" si="2"/>
        <v>15</v>
      </c>
      <c r="K8" s="63">
        <f t="shared" si="2"/>
        <v>15</v>
      </c>
      <c r="L8" s="63">
        <f t="shared" si="2"/>
        <v>15</v>
      </c>
      <c r="M8" s="63">
        <f t="shared" si="2"/>
        <v>15</v>
      </c>
      <c r="N8" s="47">
        <f>AVERAGE(B8:M8)</f>
        <v>15</v>
      </c>
      <c r="O8" s="35"/>
      <c r="P8" s="35"/>
      <c r="Q8" s="35"/>
      <c r="R8" s="35"/>
      <c r="S8" s="35"/>
      <c r="T8" s="35"/>
      <c r="U8" s="35"/>
      <c r="V8" s="35"/>
      <c r="W8" s="35"/>
      <c r="X8" s="35"/>
      <c r="Y8" s="35"/>
      <c r="Z8" s="35"/>
    </row>
    <row r="9" spans="1:26" ht="10.5" customHeight="1" x14ac:dyDescent="0.3">
      <c r="A9" s="35" t="s">
        <v>16</v>
      </c>
      <c r="B9" s="35">
        <f>'Entrada de $'!B8</f>
        <v>20</v>
      </c>
      <c r="C9" s="35">
        <f>'Entrada de $'!C8</f>
        <v>50</v>
      </c>
      <c r="D9" s="35">
        <f>'Entrada de $'!D8</f>
        <v>75</v>
      </c>
      <c r="E9" s="35">
        <f>'Entrada de $'!E8</f>
        <v>100</v>
      </c>
      <c r="F9" s="35">
        <f>'Entrada de $'!F8</f>
        <v>120</v>
      </c>
      <c r="G9" s="35">
        <f>'Entrada de $'!G8</f>
        <v>200</v>
      </c>
      <c r="H9" s="35">
        <f>'Entrada de $'!H8</f>
        <v>200</v>
      </c>
      <c r="I9" s="35">
        <f>'Entrada de $'!I8</f>
        <v>200</v>
      </c>
      <c r="J9" s="35">
        <f>'Entrada de $'!J8</f>
        <v>200</v>
      </c>
      <c r="K9" s="35">
        <f>'Entrada de $'!K8</f>
        <v>200</v>
      </c>
      <c r="L9" s="35">
        <f>'Entrada de $'!L8</f>
        <v>250</v>
      </c>
      <c r="M9" s="35">
        <f>'Entrada de $'!M8</f>
        <v>280</v>
      </c>
      <c r="N9" s="35">
        <f>SUM(B9:M9)</f>
        <v>1895</v>
      </c>
      <c r="O9" s="35"/>
      <c r="P9" s="35"/>
      <c r="Q9" s="35"/>
      <c r="R9" s="35"/>
      <c r="S9" s="35"/>
      <c r="T9" s="35"/>
      <c r="U9" s="35"/>
      <c r="V9" s="35"/>
      <c r="W9" s="35"/>
      <c r="X9" s="35"/>
      <c r="Y9" s="35"/>
      <c r="Z9" s="35"/>
    </row>
    <row r="10" spans="1:26" ht="10.5" customHeight="1"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spans="1:26" ht="10.5" customHeight="1" x14ac:dyDescent="0.3">
      <c r="A11" s="43" t="str">
        <f>"Custo Total de "&amp;InformacoesBasicas!C17</f>
        <v>Custo Total de produto 2</v>
      </c>
      <c r="B11" s="44">
        <f t="shared" ref="B11:M11" si="3">B12*B13</f>
        <v>300</v>
      </c>
      <c r="C11" s="44">
        <f t="shared" si="3"/>
        <v>1000</v>
      </c>
      <c r="D11" s="44">
        <f t="shared" si="3"/>
        <v>1000</v>
      </c>
      <c r="E11" s="44">
        <f t="shared" si="3"/>
        <v>1400</v>
      </c>
      <c r="F11" s="44">
        <f t="shared" si="3"/>
        <v>1500</v>
      </c>
      <c r="G11" s="44">
        <f t="shared" si="3"/>
        <v>2200</v>
      </c>
      <c r="H11" s="44">
        <f t="shared" si="3"/>
        <v>2200</v>
      </c>
      <c r="I11" s="44">
        <f t="shared" si="3"/>
        <v>2200</v>
      </c>
      <c r="J11" s="44">
        <f t="shared" si="3"/>
        <v>3000</v>
      </c>
      <c r="K11" s="44">
        <f t="shared" si="3"/>
        <v>4000</v>
      </c>
      <c r="L11" s="44">
        <f t="shared" si="3"/>
        <v>5000</v>
      </c>
      <c r="M11" s="44">
        <f t="shared" si="3"/>
        <v>6000</v>
      </c>
      <c r="N11" s="45">
        <f>SUM(B11:M11)</f>
        <v>29800</v>
      </c>
      <c r="O11" s="35"/>
      <c r="P11" s="35"/>
      <c r="Q11" s="35"/>
      <c r="R11" s="35"/>
      <c r="S11" s="35"/>
      <c r="T11" s="35"/>
      <c r="U11" s="35"/>
      <c r="V11" s="35"/>
      <c r="W11" s="35"/>
      <c r="X11" s="35"/>
      <c r="Y11" s="35"/>
      <c r="Z11" s="35"/>
    </row>
    <row r="12" spans="1:26" ht="10.5" customHeight="1" x14ac:dyDescent="0.3">
      <c r="A12" s="35" t="str">
        <f>IF(InformacoesBasicas!B10=1,"Custo de Aquisição de ",IF(InformacoesBasicas!B10=2,"Custo de Prestação de Serviço de ",IF(InformacoesBasicas!B10=3,"Custo de Fabricação de ","Custo de")))&amp;InformacoesBasicas!C17</f>
        <v>Custo de Prestação de Serviço de produto 2</v>
      </c>
      <c r="B12" s="63">
        <f>'Custo Unitário'!B6</f>
        <v>20</v>
      </c>
      <c r="C12" s="63">
        <f t="shared" ref="C12:M12" si="4">$B12</f>
        <v>20</v>
      </c>
      <c r="D12" s="63">
        <f t="shared" si="4"/>
        <v>20</v>
      </c>
      <c r="E12" s="63">
        <f t="shared" si="4"/>
        <v>20</v>
      </c>
      <c r="F12" s="63">
        <f t="shared" si="4"/>
        <v>20</v>
      </c>
      <c r="G12" s="63">
        <f t="shared" si="4"/>
        <v>20</v>
      </c>
      <c r="H12" s="63">
        <f t="shared" si="4"/>
        <v>20</v>
      </c>
      <c r="I12" s="63">
        <f t="shared" si="4"/>
        <v>20</v>
      </c>
      <c r="J12" s="63">
        <f t="shared" si="4"/>
        <v>20</v>
      </c>
      <c r="K12" s="63">
        <f t="shared" si="4"/>
        <v>20</v>
      </c>
      <c r="L12" s="63">
        <f t="shared" si="4"/>
        <v>20</v>
      </c>
      <c r="M12" s="63">
        <f t="shared" si="4"/>
        <v>20</v>
      </c>
      <c r="N12" s="47">
        <f>AVERAGE(B12:M12)</f>
        <v>20</v>
      </c>
      <c r="O12" s="35"/>
      <c r="P12" s="35"/>
      <c r="Q12" s="35"/>
      <c r="R12" s="35"/>
      <c r="S12" s="35"/>
      <c r="T12" s="35"/>
      <c r="U12" s="35"/>
      <c r="V12" s="35"/>
      <c r="W12" s="35"/>
      <c r="X12" s="35"/>
      <c r="Y12" s="35"/>
      <c r="Z12" s="35"/>
    </row>
    <row r="13" spans="1:26" ht="10.5" customHeight="1" x14ac:dyDescent="0.3">
      <c r="A13" s="35" t="s">
        <v>16</v>
      </c>
      <c r="B13" s="35">
        <f>'Entrada de $'!B12</f>
        <v>15</v>
      </c>
      <c r="C13" s="35">
        <f>'Entrada de $'!C12</f>
        <v>50</v>
      </c>
      <c r="D13" s="35">
        <f>'Entrada de $'!D12</f>
        <v>50</v>
      </c>
      <c r="E13" s="35">
        <f>'Entrada de $'!E12</f>
        <v>70</v>
      </c>
      <c r="F13" s="35">
        <f>'Entrada de $'!F12</f>
        <v>75</v>
      </c>
      <c r="G13" s="35">
        <f>'Entrada de $'!G12</f>
        <v>110</v>
      </c>
      <c r="H13" s="35">
        <f>'Entrada de $'!H12</f>
        <v>110</v>
      </c>
      <c r="I13" s="35">
        <f>'Entrada de $'!I12</f>
        <v>110</v>
      </c>
      <c r="J13" s="35">
        <f>'Entrada de $'!J12</f>
        <v>150</v>
      </c>
      <c r="K13" s="35">
        <f>'Entrada de $'!K12</f>
        <v>200</v>
      </c>
      <c r="L13" s="35">
        <f>'Entrada de $'!L12</f>
        <v>250</v>
      </c>
      <c r="M13" s="35">
        <f>'Entrada de $'!M12</f>
        <v>300</v>
      </c>
      <c r="N13" s="35">
        <f>SUM(B13:M13)</f>
        <v>1490</v>
      </c>
      <c r="O13" s="35"/>
      <c r="P13" s="35"/>
      <c r="Q13" s="35"/>
      <c r="R13" s="35"/>
      <c r="S13" s="35"/>
      <c r="T13" s="35"/>
      <c r="U13" s="35"/>
      <c r="V13" s="35"/>
      <c r="W13" s="35"/>
      <c r="X13" s="35"/>
      <c r="Y13" s="35"/>
      <c r="Z13" s="35"/>
    </row>
    <row r="14" spans="1:26" ht="10.5" customHeight="1"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spans="1:26" ht="10.5" customHeight="1" x14ac:dyDescent="0.3">
      <c r="A15" s="43" t="str">
        <f>"Custo Total de "&amp;InformacoesBasicas!C18</f>
        <v>Custo Total de produto 3</v>
      </c>
      <c r="B15" s="44">
        <f t="shared" ref="B15:M15" si="5">B16*B17</f>
        <v>0</v>
      </c>
      <c r="C15" s="44">
        <f t="shared" si="5"/>
        <v>500</v>
      </c>
      <c r="D15" s="44">
        <f t="shared" si="5"/>
        <v>1250</v>
      </c>
      <c r="E15" s="44">
        <f t="shared" si="5"/>
        <v>2000</v>
      </c>
      <c r="F15" s="44">
        <f t="shared" si="5"/>
        <v>2250</v>
      </c>
      <c r="G15" s="44">
        <f t="shared" si="5"/>
        <v>2250</v>
      </c>
      <c r="H15" s="44">
        <f t="shared" si="5"/>
        <v>2250</v>
      </c>
      <c r="I15" s="44">
        <f t="shared" si="5"/>
        <v>2750</v>
      </c>
      <c r="J15" s="44">
        <f t="shared" si="5"/>
        <v>2750</v>
      </c>
      <c r="K15" s="44">
        <f t="shared" si="5"/>
        <v>3750</v>
      </c>
      <c r="L15" s="44">
        <f t="shared" si="5"/>
        <v>5500</v>
      </c>
      <c r="M15" s="44">
        <f t="shared" si="5"/>
        <v>6250</v>
      </c>
      <c r="N15" s="45">
        <f>SUM(B15:M15)</f>
        <v>31500</v>
      </c>
      <c r="O15" s="35"/>
      <c r="P15" s="35"/>
      <c r="Q15" s="35"/>
      <c r="R15" s="35"/>
      <c r="S15" s="35"/>
      <c r="T15" s="35"/>
      <c r="U15" s="35"/>
      <c r="V15" s="35"/>
      <c r="W15" s="35"/>
      <c r="X15" s="35"/>
      <c r="Y15" s="35"/>
      <c r="Z15" s="35"/>
    </row>
    <row r="16" spans="1:26" ht="10.5" customHeight="1" x14ac:dyDescent="0.3">
      <c r="A16" s="35" t="str">
        <f>IF(InformacoesBasicas!B10=1,"Custo de Aquisição de ",IF(InformacoesBasicas!B10=2,"Custo de Prestação de Serviço de ",IF(InformacoesBasicas!B10=3,"Custo de Fabricação de ","Custo de")))&amp;InformacoesBasicas!C18</f>
        <v>Custo de Prestação de Serviço de produto 3</v>
      </c>
      <c r="B16" s="63">
        <f>'Custo Unitário'!B8</f>
        <v>25</v>
      </c>
      <c r="C16" s="63">
        <f t="shared" ref="C16:M16" si="6">$B16</f>
        <v>25</v>
      </c>
      <c r="D16" s="63">
        <f t="shared" si="6"/>
        <v>25</v>
      </c>
      <c r="E16" s="63">
        <f t="shared" si="6"/>
        <v>25</v>
      </c>
      <c r="F16" s="63">
        <f t="shared" si="6"/>
        <v>25</v>
      </c>
      <c r="G16" s="63">
        <f t="shared" si="6"/>
        <v>25</v>
      </c>
      <c r="H16" s="63">
        <f t="shared" si="6"/>
        <v>25</v>
      </c>
      <c r="I16" s="63">
        <f t="shared" si="6"/>
        <v>25</v>
      </c>
      <c r="J16" s="63">
        <f t="shared" si="6"/>
        <v>25</v>
      </c>
      <c r="K16" s="63">
        <f t="shared" si="6"/>
        <v>25</v>
      </c>
      <c r="L16" s="63">
        <f t="shared" si="6"/>
        <v>25</v>
      </c>
      <c r="M16" s="63">
        <f t="shared" si="6"/>
        <v>25</v>
      </c>
      <c r="N16" s="47">
        <f>AVERAGE(B16:M16)</f>
        <v>25</v>
      </c>
      <c r="O16" s="35"/>
      <c r="P16" s="35"/>
      <c r="Q16" s="35"/>
      <c r="R16" s="35"/>
      <c r="S16" s="35"/>
      <c r="T16" s="35"/>
      <c r="U16" s="35"/>
      <c r="V16" s="35"/>
      <c r="W16" s="35"/>
      <c r="X16" s="35"/>
      <c r="Y16" s="35"/>
      <c r="Z16" s="35"/>
    </row>
    <row r="17" spans="1:26" ht="10.5" customHeight="1" x14ac:dyDescent="0.3">
      <c r="A17" s="35" t="s">
        <v>16</v>
      </c>
      <c r="B17" s="35">
        <f>'Entrada de $'!B16</f>
        <v>0</v>
      </c>
      <c r="C17" s="35">
        <f>'Entrada de $'!C16</f>
        <v>20</v>
      </c>
      <c r="D17" s="35">
        <f>'Entrada de $'!D16</f>
        <v>50</v>
      </c>
      <c r="E17" s="35">
        <f>'Entrada de $'!E16</f>
        <v>80</v>
      </c>
      <c r="F17" s="35">
        <f>'Entrada de $'!F16</f>
        <v>90</v>
      </c>
      <c r="G17" s="35">
        <f>'Entrada de $'!G16</f>
        <v>90</v>
      </c>
      <c r="H17" s="35">
        <f>'Entrada de $'!H16</f>
        <v>90</v>
      </c>
      <c r="I17" s="35">
        <f>'Entrada de $'!I16</f>
        <v>110</v>
      </c>
      <c r="J17" s="35">
        <f>'Entrada de $'!J16</f>
        <v>110</v>
      </c>
      <c r="K17" s="35">
        <f>'Entrada de $'!K16</f>
        <v>150</v>
      </c>
      <c r="L17" s="35">
        <f>'Entrada de $'!L16</f>
        <v>220</v>
      </c>
      <c r="M17" s="35">
        <f>'Entrada de $'!M16</f>
        <v>250</v>
      </c>
      <c r="N17" s="35">
        <f>SUM(B17:M17)</f>
        <v>1260</v>
      </c>
      <c r="O17" s="35"/>
      <c r="P17" s="35"/>
      <c r="Q17" s="35"/>
      <c r="R17" s="35"/>
      <c r="S17" s="35"/>
      <c r="T17" s="35"/>
      <c r="U17" s="35"/>
      <c r="V17" s="35"/>
      <c r="W17" s="35"/>
      <c r="X17" s="35"/>
      <c r="Y17" s="35"/>
      <c r="Z17" s="35"/>
    </row>
    <row r="18" spans="1:26" ht="10.5" customHeight="1"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spans="1:26" ht="10.5" customHeight="1" x14ac:dyDescent="0.3">
      <c r="A19" s="43" t="str">
        <f>"Custo Total de "&amp;InformacoesBasicas!C19</f>
        <v>Custo Total de produto 4</v>
      </c>
      <c r="B19" s="44">
        <f t="shared" ref="B19:M19" si="7">B20*B21</f>
        <v>0</v>
      </c>
      <c r="C19" s="44">
        <f t="shared" si="7"/>
        <v>1200</v>
      </c>
      <c r="D19" s="44">
        <f t="shared" si="7"/>
        <v>1200</v>
      </c>
      <c r="E19" s="44">
        <f t="shared" si="7"/>
        <v>1500</v>
      </c>
      <c r="F19" s="44">
        <f t="shared" si="7"/>
        <v>1800</v>
      </c>
      <c r="G19" s="44">
        <f t="shared" si="7"/>
        <v>1800</v>
      </c>
      <c r="H19" s="44">
        <f t="shared" si="7"/>
        <v>1800</v>
      </c>
      <c r="I19" s="44">
        <f t="shared" si="7"/>
        <v>3600</v>
      </c>
      <c r="J19" s="44">
        <f t="shared" si="7"/>
        <v>5400</v>
      </c>
      <c r="K19" s="44">
        <f t="shared" si="7"/>
        <v>6000</v>
      </c>
      <c r="L19" s="44">
        <f t="shared" si="7"/>
        <v>6000</v>
      </c>
      <c r="M19" s="44">
        <f t="shared" si="7"/>
        <v>6000</v>
      </c>
      <c r="N19" s="45">
        <f>SUM(B19:M19)</f>
        <v>36300</v>
      </c>
      <c r="O19" s="35"/>
      <c r="P19" s="35"/>
      <c r="Q19" s="35"/>
      <c r="R19" s="35"/>
      <c r="S19" s="35"/>
      <c r="T19" s="35"/>
      <c r="U19" s="35"/>
      <c r="V19" s="35"/>
      <c r="W19" s="35"/>
      <c r="X19" s="35"/>
      <c r="Y19" s="35"/>
      <c r="Z19" s="35"/>
    </row>
    <row r="20" spans="1:26" ht="10.5" customHeight="1" x14ac:dyDescent="0.3">
      <c r="A20" s="35" t="str">
        <f>IF(InformacoesBasicas!B10=1,"Custo de Aquisição de ",IF(InformacoesBasicas!B10=2,"Custo de Prestação de Serviço de ",IF(InformacoesBasicas!B10=3,"Custo de Fabricação de ","Custo de")))&amp;InformacoesBasicas!C19</f>
        <v>Custo de Prestação de Serviço de produto 4</v>
      </c>
      <c r="B20" s="63">
        <f>'Custo Unitário'!B10</f>
        <v>30</v>
      </c>
      <c r="C20" s="63">
        <f t="shared" ref="C20:M20" si="8">$B20</f>
        <v>30</v>
      </c>
      <c r="D20" s="63">
        <f t="shared" si="8"/>
        <v>30</v>
      </c>
      <c r="E20" s="63">
        <f t="shared" si="8"/>
        <v>30</v>
      </c>
      <c r="F20" s="63">
        <f t="shared" si="8"/>
        <v>30</v>
      </c>
      <c r="G20" s="63">
        <f t="shared" si="8"/>
        <v>30</v>
      </c>
      <c r="H20" s="63">
        <f t="shared" si="8"/>
        <v>30</v>
      </c>
      <c r="I20" s="63">
        <f t="shared" si="8"/>
        <v>30</v>
      </c>
      <c r="J20" s="63">
        <f t="shared" si="8"/>
        <v>30</v>
      </c>
      <c r="K20" s="63">
        <f t="shared" si="8"/>
        <v>30</v>
      </c>
      <c r="L20" s="63">
        <f t="shared" si="8"/>
        <v>30</v>
      </c>
      <c r="M20" s="63">
        <f t="shared" si="8"/>
        <v>30</v>
      </c>
      <c r="N20" s="47">
        <f>AVERAGE(B20:M20)</f>
        <v>30</v>
      </c>
      <c r="O20" s="35"/>
      <c r="P20" s="35"/>
      <c r="Q20" s="35"/>
      <c r="R20" s="35"/>
      <c r="S20" s="35"/>
      <c r="T20" s="35"/>
      <c r="U20" s="35"/>
      <c r="V20" s="35"/>
      <c r="W20" s="35"/>
      <c r="X20" s="35"/>
      <c r="Y20" s="35"/>
      <c r="Z20" s="35"/>
    </row>
    <row r="21" spans="1:26" ht="10.5" customHeight="1" x14ac:dyDescent="0.3">
      <c r="A21" s="35" t="s">
        <v>16</v>
      </c>
      <c r="B21" s="35">
        <f>'Entrada de $'!B20</f>
        <v>0</v>
      </c>
      <c r="C21" s="35">
        <f>'Entrada de $'!C20</f>
        <v>40</v>
      </c>
      <c r="D21" s="35">
        <f>'Entrada de $'!D20</f>
        <v>40</v>
      </c>
      <c r="E21" s="35">
        <f>'Entrada de $'!E20</f>
        <v>50</v>
      </c>
      <c r="F21" s="35">
        <f>'Entrada de $'!F20</f>
        <v>60</v>
      </c>
      <c r="G21" s="35">
        <f>'Entrada de $'!G20</f>
        <v>60</v>
      </c>
      <c r="H21" s="35">
        <f>'Entrada de $'!H20</f>
        <v>60</v>
      </c>
      <c r="I21" s="35">
        <f>'Entrada de $'!I20</f>
        <v>120</v>
      </c>
      <c r="J21" s="35">
        <f>'Entrada de $'!J20</f>
        <v>180</v>
      </c>
      <c r="K21" s="35">
        <f>'Entrada de $'!K20</f>
        <v>200</v>
      </c>
      <c r="L21" s="35">
        <f>'Entrada de $'!L20</f>
        <v>200</v>
      </c>
      <c r="M21" s="35">
        <f>'Entrada de $'!M20</f>
        <v>200</v>
      </c>
      <c r="N21" s="35">
        <f>SUM(B21:M21)</f>
        <v>1210</v>
      </c>
      <c r="O21" s="35"/>
      <c r="P21" s="35"/>
      <c r="Q21" s="35"/>
      <c r="R21" s="35"/>
      <c r="S21" s="35"/>
      <c r="T21" s="35"/>
      <c r="U21" s="35"/>
      <c r="V21" s="35"/>
      <c r="W21" s="35"/>
      <c r="X21" s="35"/>
      <c r="Y21" s="35"/>
      <c r="Z21" s="35"/>
    </row>
    <row r="22" spans="1:26" ht="10.5" customHeight="1"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spans="1:26" ht="10.5" customHeight="1" x14ac:dyDescent="0.3">
      <c r="A23" s="43" t="str">
        <f>"Custo Total de "&amp;InformacoesBasicas!C20</f>
        <v>Custo Total de produto 5</v>
      </c>
      <c r="B23" s="44">
        <f t="shared" ref="B23:M23" si="9">B24*B25</f>
        <v>2800</v>
      </c>
      <c r="C23" s="44">
        <f t="shared" si="9"/>
        <v>3500</v>
      </c>
      <c r="D23" s="44">
        <f t="shared" si="9"/>
        <v>4200</v>
      </c>
      <c r="E23" s="44">
        <f t="shared" si="9"/>
        <v>5250</v>
      </c>
      <c r="F23" s="44">
        <f t="shared" si="9"/>
        <v>5250</v>
      </c>
      <c r="G23" s="44">
        <f t="shared" si="9"/>
        <v>7000</v>
      </c>
      <c r="H23" s="44">
        <f t="shared" si="9"/>
        <v>7700</v>
      </c>
      <c r="I23" s="44">
        <f t="shared" si="9"/>
        <v>7700</v>
      </c>
      <c r="J23" s="44">
        <f t="shared" si="9"/>
        <v>7700</v>
      </c>
      <c r="K23" s="44">
        <f t="shared" si="9"/>
        <v>8750</v>
      </c>
      <c r="L23" s="44">
        <f t="shared" si="9"/>
        <v>10500</v>
      </c>
      <c r="M23" s="44">
        <f t="shared" si="9"/>
        <v>10500</v>
      </c>
      <c r="N23" s="45">
        <f>SUM(B23:M23)</f>
        <v>80850</v>
      </c>
      <c r="O23" s="35"/>
      <c r="P23" s="35"/>
      <c r="Q23" s="35"/>
      <c r="R23" s="35"/>
      <c r="S23" s="35"/>
      <c r="T23" s="35"/>
      <c r="U23" s="35"/>
      <c r="V23" s="35"/>
      <c r="W23" s="35"/>
      <c r="X23" s="35"/>
      <c r="Y23" s="35"/>
      <c r="Z23" s="35"/>
    </row>
    <row r="24" spans="1:26" ht="10.5" customHeight="1" x14ac:dyDescent="0.3">
      <c r="A24" s="35" t="str">
        <f>IF(InformacoesBasicas!B10=1,"Custo de Aquisição de ",IF(InformacoesBasicas!B10=2,"Custo de Prestação de Serviço de ",IF(InformacoesBasicas!B10=3,"Custo de Fabricação de ","Custo de")))&amp;InformacoesBasicas!C20</f>
        <v>Custo de Prestação de Serviço de produto 5</v>
      </c>
      <c r="B24" s="63">
        <f>'Custo Unitário'!B12</f>
        <v>35</v>
      </c>
      <c r="C24" s="63">
        <f t="shared" ref="C24:M24" si="10">$B24</f>
        <v>35</v>
      </c>
      <c r="D24" s="63">
        <f t="shared" si="10"/>
        <v>35</v>
      </c>
      <c r="E24" s="63">
        <f t="shared" si="10"/>
        <v>35</v>
      </c>
      <c r="F24" s="63">
        <f t="shared" si="10"/>
        <v>35</v>
      </c>
      <c r="G24" s="63">
        <f t="shared" si="10"/>
        <v>35</v>
      </c>
      <c r="H24" s="63">
        <f t="shared" si="10"/>
        <v>35</v>
      </c>
      <c r="I24" s="63">
        <f t="shared" si="10"/>
        <v>35</v>
      </c>
      <c r="J24" s="63">
        <f t="shared" si="10"/>
        <v>35</v>
      </c>
      <c r="K24" s="63">
        <f t="shared" si="10"/>
        <v>35</v>
      </c>
      <c r="L24" s="63">
        <f t="shared" si="10"/>
        <v>35</v>
      </c>
      <c r="M24" s="63">
        <f t="shared" si="10"/>
        <v>35</v>
      </c>
      <c r="N24" s="47">
        <f>AVERAGE(B24:M24)</f>
        <v>35</v>
      </c>
      <c r="O24" s="35"/>
      <c r="P24" s="35"/>
      <c r="Q24" s="35"/>
      <c r="R24" s="35"/>
      <c r="S24" s="35"/>
      <c r="T24" s="35"/>
      <c r="U24" s="35"/>
      <c r="V24" s="35"/>
      <c r="W24" s="35"/>
      <c r="X24" s="35"/>
      <c r="Y24" s="35"/>
      <c r="Z24" s="35"/>
    </row>
    <row r="25" spans="1:26" ht="10.5" customHeight="1" x14ac:dyDescent="0.3">
      <c r="A25" s="35" t="s">
        <v>16</v>
      </c>
      <c r="B25" s="35">
        <f>'Entrada de $'!B24</f>
        <v>80</v>
      </c>
      <c r="C25" s="35">
        <f>'Entrada de $'!C24</f>
        <v>100</v>
      </c>
      <c r="D25" s="35">
        <f>'Entrada de $'!D24</f>
        <v>120</v>
      </c>
      <c r="E25" s="35">
        <f>'Entrada de $'!E24</f>
        <v>150</v>
      </c>
      <c r="F25" s="35">
        <f>'Entrada de $'!F24</f>
        <v>150</v>
      </c>
      <c r="G25" s="35">
        <f>'Entrada de $'!G24</f>
        <v>200</v>
      </c>
      <c r="H25" s="35">
        <f>'Entrada de $'!H24</f>
        <v>220</v>
      </c>
      <c r="I25" s="35">
        <f>'Entrada de $'!I24</f>
        <v>220</v>
      </c>
      <c r="J25" s="35">
        <f>'Entrada de $'!J24</f>
        <v>220</v>
      </c>
      <c r="K25" s="35">
        <f>'Entrada de $'!K24</f>
        <v>250</v>
      </c>
      <c r="L25" s="35">
        <f>'Entrada de $'!L24</f>
        <v>300</v>
      </c>
      <c r="M25" s="35">
        <f>'Entrada de $'!M24</f>
        <v>300</v>
      </c>
      <c r="N25" s="35">
        <f>SUM(B25:M25)</f>
        <v>2310</v>
      </c>
      <c r="O25" s="35"/>
      <c r="P25" s="35"/>
      <c r="Q25" s="35"/>
      <c r="R25" s="35"/>
      <c r="S25" s="35"/>
      <c r="T25" s="35"/>
      <c r="U25" s="35"/>
      <c r="V25" s="35"/>
      <c r="W25" s="35"/>
      <c r="X25" s="35"/>
      <c r="Y25" s="35"/>
      <c r="Z25" s="35"/>
    </row>
    <row r="26" spans="1:26" ht="10.5" customHeight="1"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10.5" customHeight="1" x14ac:dyDescent="0.3">
      <c r="A27" s="43" t="str">
        <f>"Custo Total de "&amp;InformacoesBasicas!C21</f>
        <v>Custo Total de produto 6</v>
      </c>
      <c r="B27" s="44">
        <f t="shared" ref="B27:M27" si="11">B28*B29</f>
        <v>0</v>
      </c>
      <c r="C27" s="44">
        <f t="shared" si="11"/>
        <v>4000</v>
      </c>
      <c r="D27" s="44">
        <f t="shared" si="11"/>
        <v>4800</v>
      </c>
      <c r="E27" s="44">
        <f t="shared" si="11"/>
        <v>5200</v>
      </c>
      <c r="F27" s="44">
        <f t="shared" si="11"/>
        <v>4800</v>
      </c>
      <c r="G27" s="44">
        <f t="shared" si="11"/>
        <v>4800</v>
      </c>
      <c r="H27" s="44">
        <f t="shared" si="11"/>
        <v>4800</v>
      </c>
      <c r="I27" s="44">
        <f t="shared" si="11"/>
        <v>4800</v>
      </c>
      <c r="J27" s="44">
        <f t="shared" si="11"/>
        <v>6000</v>
      </c>
      <c r="K27" s="44">
        <f t="shared" si="11"/>
        <v>6000</v>
      </c>
      <c r="L27" s="44">
        <f t="shared" si="11"/>
        <v>7200</v>
      </c>
      <c r="M27" s="44">
        <f t="shared" si="11"/>
        <v>7200</v>
      </c>
      <c r="N27" s="45">
        <f>SUM(B27:M27)</f>
        <v>59600</v>
      </c>
      <c r="O27" s="35"/>
      <c r="P27" s="35"/>
      <c r="Q27" s="35"/>
      <c r="R27" s="35"/>
      <c r="S27" s="35"/>
      <c r="T27" s="35"/>
      <c r="U27" s="35"/>
      <c r="V27" s="35"/>
      <c r="W27" s="35"/>
      <c r="X27" s="35"/>
      <c r="Y27" s="35"/>
      <c r="Z27" s="35"/>
    </row>
    <row r="28" spans="1:26" ht="10.5" customHeight="1" x14ac:dyDescent="0.3">
      <c r="A28" s="35" t="str">
        <f>IF(InformacoesBasicas!B10=1,"Custo de Aquisição de ",IF(InformacoesBasicas!B10=2,"Custo de Prestação de Serviço de ",IF(InformacoesBasicas!B10=3,"Custo de Fabricação de ","Custo de")))&amp;InformacoesBasicas!C21</f>
        <v>Custo de Prestação de Serviço de produto 6</v>
      </c>
      <c r="B28" s="63">
        <f>'Custo Unitário'!B14</f>
        <v>40</v>
      </c>
      <c r="C28" s="63">
        <f t="shared" ref="C28:M28" si="12">$B28</f>
        <v>40</v>
      </c>
      <c r="D28" s="63">
        <f t="shared" si="12"/>
        <v>40</v>
      </c>
      <c r="E28" s="63">
        <f t="shared" si="12"/>
        <v>40</v>
      </c>
      <c r="F28" s="63">
        <f t="shared" si="12"/>
        <v>40</v>
      </c>
      <c r="G28" s="63">
        <f t="shared" si="12"/>
        <v>40</v>
      </c>
      <c r="H28" s="63">
        <f t="shared" si="12"/>
        <v>40</v>
      </c>
      <c r="I28" s="63">
        <f t="shared" si="12"/>
        <v>40</v>
      </c>
      <c r="J28" s="63">
        <f t="shared" si="12"/>
        <v>40</v>
      </c>
      <c r="K28" s="63">
        <f t="shared" si="12"/>
        <v>40</v>
      </c>
      <c r="L28" s="63">
        <f t="shared" si="12"/>
        <v>40</v>
      </c>
      <c r="M28" s="63">
        <f t="shared" si="12"/>
        <v>40</v>
      </c>
      <c r="N28" s="47">
        <f>AVERAGE(B28:M28)</f>
        <v>40</v>
      </c>
      <c r="O28" s="35"/>
      <c r="P28" s="35"/>
      <c r="Q28" s="35"/>
      <c r="R28" s="35"/>
      <c r="S28" s="35"/>
      <c r="T28" s="35"/>
      <c r="U28" s="35"/>
      <c r="V28" s="35"/>
      <c r="W28" s="35"/>
      <c r="X28" s="35"/>
      <c r="Y28" s="35"/>
      <c r="Z28" s="35"/>
    </row>
    <row r="29" spans="1:26" ht="10.5" customHeight="1" x14ac:dyDescent="0.3">
      <c r="A29" s="35" t="s">
        <v>16</v>
      </c>
      <c r="B29" s="35">
        <f>'Entrada de $'!B28</f>
        <v>0</v>
      </c>
      <c r="C29" s="35">
        <f>'Entrada de $'!C28</f>
        <v>100</v>
      </c>
      <c r="D29" s="35">
        <f>'Entrada de $'!D28</f>
        <v>120</v>
      </c>
      <c r="E29" s="35">
        <f>'Entrada de $'!E28</f>
        <v>130</v>
      </c>
      <c r="F29" s="35">
        <f>'Entrada de $'!F28</f>
        <v>120</v>
      </c>
      <c r="G29" s="35">
        <f>'Entrada de $'!G28</f>
        <v>120</v>
      </c>
      <c r="H29" s="35">
        <f>'Entrada de $'!H28</f>
        <v>120</v>
      </c>
      <c r="I29" s="35">
        <f>'Entrada de $'!I28</f>
        <v>120</v>
      </c>
      <c r="J29" s="35">
        <f>'Entrada de $'!J28</f>
        <v>150</v>
      </c>
      <c r="K29" s="35">
        <f>'Entrada de $'!K28</f>
        <v>150</v>
      </c>
      <c r="L29" s="35">
        <f>'Entrada de $'!L28</f>
        <v>180</v>
      </c>
      <c r="M29" s="35">
        <f>'Entrada de $'!M28</f>
        <v>180</v>
      </c>
      <c r="N29" s="35">
        <f>SUM(B29:M29)</f>
        <v>1490</v>
      </c>
      <c r="O29" s="35"/>
      <c r="P29" s="35"/>
      <c r="Q29" s="35"/>
      <c r="R29" s="35"/>
      <c r="S29" s="35"/>
      <c r="T29" s="35"/>
      <c r="U29" s="35"/>
      <c r="V29" s="35"/>
      <c r="W29" s="35"/>
      <c r="X29" s="35"/>
      <c r="Y29" s="35"/>
      <c r="Z29" s="35"/>
    </row>
    <row r="30" spans="1:26" ht="10.5" customHeight="1"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0.5" customHeight="1" x14ac:dyDescent="0.3">
      <c r="A31" s="43" t="str">
        <f>"Custo Total de "&amp;InformacoesBasicas!C22</f>
        <v>Custo Total de produto 7</v>
      </c>
      <c r="B31" s="44">
        <f t="shared" ref="B31:M31" si="13">B32*B33</f>
        <v>0</v>
      </c>
      <c r="C31" s="44">
        <f t="shared" si="13"/>
        <v>1350</v>
      </c>
      <c r="D31" s="44">
        <f t="shared" si="13"/>
        <v>1800</v>
      </c>
      <c r="E31" s="44">
        <f t="shared" si="13"/>
        <v>2925</v>
      </c>
      <c r="F31" s="44">
        <f t="shared" si="13"/>
        <v>2925</v>
      </c>
      <c r="G31" s="44">
        <f t="shared" si="13"/>
        <v>2925</v>
      </c>
      <c r="H31" s="44">
        <f t="shared" si="13"/>
        <v>4050</v>
      </c>
      <c r="I31" s="44">
        <f t="shared" si="13"/>
        <v>4050</v>
      </c>
      <c r="J31" s="44">
        <f t="shared" si="13"/>
        <v>4050</v>
      </c>
      <c r="K31" s="44">
        <f t="shared" si="13"/>
        <v>4500</v>
      </c>
      <c r="L31" s="44">
        <f t="shared" si="13"/>
        <v>4500</v>
      </c>
      <c r="M31" s="44">
        <f t="shared" si="13"/>
        <v>4500</v>
      </c>
      <c r="N31" s="45">
        <f>SUM(B31:M31)</f>
        <v>37575</v>
      </c>
      <c r="O31" s="35"/>
      <c r="P31" s="35"/>
      <c r="Q31" s="35"/>
      <c r="R31" s="35"/>
      <c r="S31" s="35"/>
      <c r="T31" s="35"/>
      <c r="U31" s="35"/>
      <c r="V31" s="35"/>
      <c r="W31" s="35"/>
      <c r="X31" s="35"/>
      <c r="Y31" s="35"/>
      <c r="Z31" s="35"/>
    </row>
    <row r="32" spans="1:26" ht="10.5" customHeight="1" x14ac:dyDescent="0.3">
      <c r="A32" s="35" t="str">
        <f>IF(InformacoesBasicas!B10=1,"Custo de Aquisição de ",IF(InformacoesBasicas!B10=2,"Custo de Prestação de Serviço de ",IF(InformacoesBasicas!B10=3,"Custo de Fabricação de ","Custo de")))&amp;InformacoesBasicas!C22</f>
        <v>Custo de Prestação de Serviço de produto 7</v>
      </c>
      <c r="B32" s="63">
        <f>'Custo Unitário'!B16</f>
        <v>45</v>
      </c>
      <c r="C32" s="63">
        <f t="shared" ref="C32:M32" si="14">$B32</f>
        <v>45</v>
      </c>
      <c r="D32" s="63">
        <f t="shared" si="14"/>
        <v>45</v>
      </c>
      <c r="E32" s="63">
        <f t="shared" si="14"/>
        <v>45</v>
      </c>
      <c r="F32" s="63">
        <f t="shared" si="14"/>
        <v>45</v>
      </c>
      <c r="G32" s="63">
        <f t="shared" si="14"/>
        <v>45</v>
      </c>
      <c r="H32" s="63">
        <f t="shared" si="14"/>
        <v>45</v>
      </c>
      <c r="I32" s="63">
        <f t="shared" si="14"/>
        <v>45</v>
      </c>
      <c r="J32" s="63">
        <f t="shared" si="14"/>
        <v>45</v>
      </c>
      <c r="K32" s="63">
        <f t="shared" si="14"/>
        <v>45</v>
      </c>
      <c r="L32" s="63">
        <f t="shared" si="14"/>
        <v>45</v>
      </c>
      <c r="M32" s="63">
        <f t="shared" si="14"/>
        <v>45</v>
      </c>
      <c r="N32" s="47">
        <f>AVERAGE(B32:M32)</f>
        <v>45</v>
      </c>
      <c r="O32" s="35"/>
      <c r="P32" s="35"/>
      <c r="Q32" s="35"/>
      <c r="R32" s="35"/>
      <c r="S32" s="35"/>
      <c r="T32" s="35"/>
      <c r="U32" s="35"/>
      <c r="V32" s="35"/>
      <c r="W32" s="35"/>
      <c r="X32" s="35"/>
      <c r="Y32" s="35"/>
      <c r="Z32" s="35"/>
    </row>
    <row r="33" spans="1:26" ht="10.5" customHeight="1" x14ac:dyDescent="0.3">
      <c r="A33" s="35" t="s">
        <v>16</v>
      </c>
      <c r="B33" s="35">
        <f>'Entrada de $'!B32</f>
        <v>0</v>
      </c>
      <c r="C33" s="35">
        <f>'Entrada de $'!C32</f>
        <v>30</v>
      </c>
      <c r="D33" s="35">
        <f>'Entrada de $'!D32</f>
        <v>40</v>
      </c>
      <c r="E33" s="35">
        <f>'Entrada de $'!E32</f>
        <v>65</v>
      </c>
      <c r="F33" s="35">
        <f>'Entrada de $'!F32</f>
        <v>65</v>
      </c>
      <c r="G33" s="35">
        <f>'Entrada de $'!G32</f>
        <v>65</v>
      </c>
      <c r="H33" s="35">
        <f>'Entrada de $'!H32</f>
        <v>90</v>
      </c>
      <c r="I33" s="35">
        <f>'Entrada de $'!I32</f>
        <v>90</v>
      </c>
      <c r="J33" s="35">
        <f>'Entrada de $'!J32</f>
        <v>90</v>
      </c>
      <c r="K33" s="35">
        <f>'Entrada de $'!K32</f>
        <v>100</v>
      </c>
      <c r="L33" s="35">
        <f>'Entrada de $'!L32</f>
        <v>100</v>
      </c>
      <c r="M33" s="35">
        <f>'Entrada de $'!M32</f>
        <v>100</v>
      </c>
      <c r="N33" s="35">
        <f>SUM(B33:M33)</f>
        <v>835</v>
      </c>
      <c r="O33" s="35"/>
      <c r="P33" s="35"/>
      <c r="Q33" s="35"/>
      <c r="R33" s="35"/>
      <c r="S33" s="35"/>
      <c r="T33" s="35"/>
      <c r="U33" s="35"/>
      <c r="V33" s="35"/>
      <c r="W33" s="35"/>
      <c r="X33" s="35"/>
      <c r="Y33" s="35"/>
      <c r="Z33" s="35"/>
    </row>
    <row r="34" spans="1:26" ht="10.5" customHeight="1"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0.5" customHeight="1" x14ac:dyDescent="0.3">
      <c r="A35" s="43" t="str">
        <f>"Custo Total de "&amp;InformacoesBasicas!C23</f>
        <v>Custo Total de produto 8</v>
      </c>
      <c r="B35" s="44">
        <f t="shared" ref="B35:M35" si="15">B36*B37</f>
        <v>3750</v>
      </c>
      <c r="C35" s="44">
        <f t="shared" si="15"/>
        <v>3750</v>
      </c>
      <c r="D35" s="44">
        <f t="shared" si="15"/>
        <v>3750</v>
      </c>
      <c r="E35" s="44">
        <f t="shared" si="15"/>
        <v>5500</v>
      </c>
      <c r="F35" s="44">
        <f t="shared" si="15"/>
        <v>5000</v>
      </c>
      <c r="G35" s="44">
        <f t="shared" si="15"/>
        <v>5000</v>
      </c>
      <c r="H35" s="44">
        <f t="shared" si="15"/>
        <v>5000</v>
      </c>
      <c r="I35" s="44">
        <f t="shared" si="15"/>
        <v>5000</v>
      </c>
      <c r="J35" s="44">
        <f t="shared" si="15"/>
        <v>5000</v>
      </c>
      <c r="K35" s="44">
        <f t="shared" si="15"/>
        <v>6000</v>
      </c>
      <c r="L35" s="44">
        <f t="shared" si="15"/>
        <v>6000</v>
      </c>
      <c r="M35" s="44">
        <f t="shared" si="15"/>
        <v>6500</v>
      </c>
      <c r="N35" s="45">
        <f>SUM(B35:M35)</f>
        <v>60250</v>
      </c>
      <c r="O35" s="35"/>
      <c r="P35" s="35"/>
      <c r="Q35" s="35"/>
      <c r="R35" s="35"/>
      <c r="S35" s="35"/>
      <c r="T35" s="35"/>
      <c r="U35" s="35"/>
      <c r="V35" s="35"/>
      <c r="W35" s="35"/>
      <c r="X35" s="35"/>
      <c r="Y35" s="35"/>
      <c r="Z35" s="35"/>
    </row>
    <row r="36" spans="1:26" ht="10.5" customHeight="1" x14ac:dyDescent="0.3">
      <c r="A36" s="35" t="str">
        <f>IF(InformacoesBasicas!B10=1,"Custo de Aquisição de ",IF(InformacoesBasicas!B10=2,"Custo de Prestação de Serviço de ",IF(InformacoesBasicas!B10=3,"Custo de Fabricação de ","Custo de")))&amp;InformacoesBasicas!C23</f>
        <v>Custo de Prestação de Serviço de produto 8</v>
      </c>
      <c r="B36" s="63">
        <f>'Custo Unitário'!B18</f>
        <v>50</v>
      </c>
      <c r="C36" s="63">
        <f t="shared" ref="C36:M36" si="16">$B36</f>
        <v>50</v>
      </c>
      <c r="D36" s="63">
        <f t="shared" si="16"/>
        <v>50</v>
      </c>
      <c r="E36" s="63">
        <f t="shared" si="16"/>
        <v>50</v>
      </c>
      <c r="F36" s="63">
        <f t="shared" si="16"/>
        <v>50</v>
      </c>
      <c r="G36" s="63">
        <f t="shared" si="16"/>
        <v>50</v>
      </c>
      <c r="H36" s="63">
        <f t="shared" si="16"/>
        <v>50</v>
      </c>
      <c r="I36" s="63">
        <f t="shared" si="16"/>
        <v>50</v>
      </c>
      <c r="J36" s="63">
        <f t="shared" si="16"/>
        <v>50</v>
      </c>
      <c r="K36" s="63">
        <f t="shared" si="16"/>
        <v>50</v>
      </c>
      <c r="L36" s="63">
        <f t="shared" si="16"/>
        <v>50</v>
      </c>
      <c r="M36" s="63">
        <f t="shared" si="16"/>
        <v>50</v>
      </c>
      <c r="N36" s="47">
        <f>AVERAGE(B36:M36)</f>
        <v>50</v>
      </c>
      <c r="O36" s="35"/>
      <c r="P36" s="35"/>
      <c r="Q36" s="35"/>
      <c r="R36" s="35"/>
      <c r="S36" s="35"/>
      <c r="T36" s="35"/>
      <c r="U36" s="35"/>
      <c r="V36" s="35"/>
      <c r="W36" s="35"/>
      <c r="X36" s="35"/>
      <c r="Y36" s="35"/>
      <c r="Z36" s="35"/>
    </row>
    <row r="37" spans="1:26" ht="10.5" customHeight="1" x14ac:dyDescent="0.3">
      <c r="A37" s="35" t="s">
        <v>16</v>
      </c>
      <c r="B37" s="35">
        <f>'Entrada de $'!B36</f>
        <v>75</v>
      </c>
      <c r="C37" s="35">
        <f>'Entrada de $'!C36</f>
        <v>75</v>
      </c>
      <c r="D37" s="35">
        <f>'Entrada de $'!D36</f>
        <v>75</v>
      </c>
      <c r="E37" s="35">
        <f>'Entrada de $'!E36</f>
        <v>110</v>
      </c>
      <c r="F37" s="35">
        <f>'Entrada de $'!F36</f>
        <v>100</v>
      </c>
      <c r="G37" s="35">
        <f>'Entrada de $'!G36</f>
        <v>100</v>
      </c>
      <c r="H37" s="35">
        <f>'Entrada de $'!H36</f>
        <v>100</v>
      </c>
      <c r="I37" s="35">
        <f>'Entrada de $'!I36</f>
        <v>100</v>
      </c>
      <c r="J37" s="35">
        <f>'Entrada de $'!J36</f>
        <v>100</v>
      </c>
      <c r="K37" s="35">
        <f>'Entrada de $'!K36</f>
        <v>120</v>
      </c>
      <c r="L37" s="35">
        <f>'Entrada de $'!L36</f>
        <v>120</v>
      </c>
      <c r="M37" s="35">
        <f>'Entrada de $'!M36</f>
        <v>130</v>
      </c>
      <c r="N37" s="35">
        <f>SUM(B37:M37)</f>
        <v>1205</v>
      </c>
      <c r="O37" s="35"/>
      <c r="P37" s="35"/>
      <c r="Q37" s="35"/>
      <c r="R37" s="35"/>
      <c r="S37" s="35"/>
      <c r="T37" s="35"/>
      <c r="U37" s="35"/>
      <c r="V37" s="35"/>
      <c r="W37" s="35"/>
      <c r="X37" s="35"/>
      <c r="Y37" s="35"/>
      <c r="Z37" s="35"/>
    </row>
    <row r="38" spans="1:26" ht="10.5" customHeight="1"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10.5" customHeight="1" x14ac:dyDescent="0.3">
      <c r="A39" s="43" t="str">
        <f>"Custo Total de "&amp;InformacoesBasicas!C24</f>
        <v>Custo Total de produto 9</v>
      </c>
      <c r="B39" s="44">
        <f t="shared" ref="B39:M39" si="17">B40*B41</f>
        <v>0</v>
      </c>
      <c r="C39" s="44">
        <f t="shared" si="17"/>
        <v>1650</v>
      </c>
      <c r="D39" s="44">
        <f t="shared" si="17"/>
        <v>2200</v>
      </c>
      <c r="E39" s="44">
        <f t="shared" si="17"/>
        <v>2200</v>
      </c>
      <c r="F39" s="44">
        <f t="shared" si="17"/>
        <v>2475</v>
      </c>
      <c r="G39" s="44">
        <f t="shared" si="17"/>
        <v>2475</v>
      </c>
      <c r="H39" s="44">
        <f t="shared" si="17"/>
        <v>3300</v>
      </c>
      <c r="I39" s="44">
        <f t="shared" si="17"/>
        <v>4125</v>
      </c>
      <c r="J39" s="44">
        <f t="shared" si="17"/>
        <v>4950</v>
      </c>
      <c r="K39" s="44">
        <f t="shared" si="17"/>
        <v>5500</v>
      </c>
      <c r="L39" s="44">
        <f t="shared" si="17"/>
        <v>5500</v>
      </c>
      <c r="M39" s="44">
        <f t="shared" si="17"/>
        <v>5500</v>
      </c>
      <c r="N39" s="45">
        <f>SUM(B39:M39)</f>
        <v>39875</v>
      </c>
      <c r="O39" s="35"/>
      <c r="P39" s="35"/>
      <c r="Q39" s="35"/>
      <c r="R39" s="35"/>
      <c r="S39" s="35"/>
      <c r="T39" s="35"/>
      <c r="U39" s="35"/>
      <c r="V39" s="35"/>
      <c r="W39" s="35"/>
      <c r="X39" s="35"/>
      <c r="Y39" s="35"/>
      <c r="Z39" s="35"/>
    </row>
    <row r="40" spans="1:26" ht="10.5" customHeight="1" x14ac:dyDescent="0.3">
      <c r="A40" s="35" t="str">
        <f>IF(InformacoesBasicas!B10=1,"Custo de Aquisição de ",IF(InformacoesBasicas!B10=2,"Custo de Prestação de Serviço de ",IF(InformacoesBasicas!B10=3,"Custo de Fabricação de ","Custo de")))&amp;InformacoesBasicas!C24</f>
        <v>Custo de Prestação de Serviço de produto 9</v>
      </c>
      <c r="B40" s="63">
        <f>'Custo Unitário'!B20</f>
        <v>55</v>
      </c>
      <c r="C40" s="63">
        <f t="shared" ref="C40:M40" si="18">$B40</f>
        <v>55</v>
      </c>
      <c r="D40" s="63">
        <f t="shared" si="18"/>
        <v>55</v>
      </c>
      <c r="E40" s="63">
        <f t="shared" si="18"/>
        <v>55</v>
      </c>
      <c r="F40" s="63">
        <f t="shared" si="18"/>
        <v>55</v>
      </c>
      <c r="G40" s="63">
        <f t="shared" si="18"/>
        <v>55</v>
      </c>
      <c r="H40" s="63">
        <f t="shared" si="18"/>
        <v>55</v>
      </c>
      <c r="I40" s="63">
        <f t="shared" si="18"/>
        <v>55</v>
      </c>
      <c r="J40" s="63">
        <f t="shared" si="18"/>
        <v>55</v>
      </c>
      <c r="K40" s="63">
        <f t="shared" si="18"/>
        <v>55</v>
      </c>
      <c r="L40" s="63">
        <f t="shared" si="18"/>
        <v>55</v>
      </c>
      <c r="M40" s="63">
        <f t="shared" si="18"/>
        <v>55</v>
      </c>
      <c r="N40" s="47">
        <f>AVERAGE(B40:M40)</f>
        <v>55</v>
      </c>
      <c r="O40" s="35"/>
      <c r="P40" s="35"/>
      <c r="Q40" s="35"/>
      <c r="R40" s="35"/>
      <c r="S40" s="35"/>
      <c r="T40" s="35"/>
      <c r="U40" s="35"/>
      <c r="V40" s="35"/>
      <c r="W40" s="35"/>
      <c r="X40" s="35"/>
      <c r="Y40" s="35"/>
      <c r="Z40" s="35"/>
    </row>
    <row r="41" spans="1:26" ht="10.5" customHeight="1" x14ac:dyDescent="0.3">
      <c r="A41" s="35" t="s">
        <v>16</v>
      </c>
      <c r="B41" s="35">
        <f>'Entrada de $'!B40</f>
        <v>0</v>
      </c>
      <c r="C41" s="35">
        <f>'Entrada de $'!C40</f>
        <v>30</v>
      </c>
      <c r="D41" s="35">
        <f>'Entrada de $'!D40</f>
        <v>40</v>
      </c>
      <c r="E41" s="35">
        <f>'Entrada de $'!E40</f>
        <v>40</v>
      </c>
      <c r="F41" s="35">
        <f>'Entrada de $'!F40</f>
        <v>45</v>
      </c>
      <c r="G41" s="35">
        <f>'Entrada de $'!G40</f>
        <v>45</v>
      </c>
      <c r="H41" s="35">
        <f>'Entrada de $'!H40</f>
        <v>60</v>
      </c>
      <c r="I41" s="35">
        <f>'Entrada de $'!I40</f>
        <v>75</v>
      </c>
      <c r="J41" s="35">
        <f>'Entrada de $'!J40</f>
        <v>90</v>
      </c>
      <c r="K41" s="35">
        <f>'Entrada de $'!K40</f>
        <v>100</v>
      </c>
      <c r="L41" s="35">
        <f>'Entrada de $'!L40</f>
        <v>100</v>
      </c>
      <c r="M41" s="35">
        <f>'Entrada de $'!M40</f>
        <v>100</v>
      </c>
      <c r="N41" s="35">
        <f>SUM(B41:M41)</f>
        <v>725</v>
      </c>
      <c r="O41" s="35"/>
      <c r="P41" s="35"/>
      <c r="Q41" s="35"/>
      <c r="R41" s="35"/>
      <c r="S41" s="35"/>
      <c r="T41" s="35"/>
      <c r="U41" s="35"/>
      <c r="V41" s="35"/>
      <c r="W41" s="35"/>
      <c r="X41" s="35"/>
      <c r="Y41" s="35"/>
      <c r="Z41" s="35"/>
    </row>
    <row r="42" spans="1:26" ht="10.5" customHeight="1" x14ac:dyDescent="0.3">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10.5" customHeight="1" x14ac:dyDescent="0.3">
      <c r="A43" s="43" t="str">
        <f>"Custo Total de "&amp;InformacoesBasicas!C25</f>
        <v>Custo Total de produto 10</v>
      </c>
      <c r="B43" s="44">
        <f t="shared" ref="B43:M43" si="19">B44*B45</f>
        <v>6000</v>
      </c>
      <c r="C43" s="44">
        <f t="shared" si="19"/>
        <v>6000</v>
      </c>
      <c r="D43" s="44">
        <f t="shared" si="19"/>
        <v>6000</v>
      </c>
      <c r="E43" s="44">
        <f t="shared" si="19"/>
        <v>6000</v>
      </c>
      <c r="F43" s="44">
        <f t="shared" si="19"/>
        <v>6600</v>
      </c>
      <c r="G43" s="44">
        <f t="shared" si="19"/>
        <v>6600</v>
      </c>
      <c r="H43" s="44">
        <f t="shared" si="19"/>
        <v>6600</v>
      </c>
      <c r="I43" s="44">
        <f t="shared" si="19"/>
        <v>7200</v>
      </c>
      <c r="J43" s="44">
        <f t="shared" si="19"/>
        <v>7200</v>
      </c>
      <c r="K43" s="44">
        <f t="shared" si="19"/>
        <v>7200</v>
      </c>
      <c r="L43" s="44">
        <f t="shared" si="19"/>
        <v>7200</v>
      </c>
      <c r="M43" s="44">
        <f t="shared" si="19"/>
        <v>6000</v>
      </c>
      <c r="N43" s="45">
        <f>SUM(B43:M43)</f>
        <v>78600</v>
      </c>
      <c r="O43" s="35"/>
      <c r="P43" s="35"/>
      <c r="Q43" s="35"/>
      <c r="R43" s="35"/>
      <c r="S43" s="35"/>
      <c r="T43" s="35"/>
      <c r="U43" s="35"/>
      <c r="V43" s="35"/>
      <c r="W43" s="35"/>
      <c r="X43" s="35"/>
      <c r="Y43" s="35"/>
      <c r="Z43" s="35"/>
    </row>
    <row r="44" spans="1:26" ht="10.5" customHeight="1" x14ac:dyDescent="0.3">
      <c r="A44" s="35" t="str">
        <f>IF(InformacoesBasicas!B10=1,"Custo de Aquisição de ",IF(InformacoesBasicas!B10=2,"Custo de Prestação de Serviço de ",IF(InformacoesBasicas!B10=3,"Custo de Fabricação de ","Custo de")))&amp;InformacoesBasicas!C25</f>
        <v>Custo de Prestação de Serviço de produto 10</v>
      </c>
      <c r="B44" s="63">
        <f>'Custo Unitário'!B22</f>
        <v>60</v>
      </c>
      <c r="C44" s="63">
        <f t="shared" ref="C44:L44" si="20">$B44</f>
        <v>60</v>
      </c>
      <c r="D44" s="63">
        <f t="shared" si="20"/>
        <v>60</v>
      </c>
      <c r="E44" s="63">
        <f t="shared" si="20"/>
        <v>60</v>
      </c>
      <c r="F44" s="63">
        <f t="shared" si="20"/>
        <v>60</v>
      </c>
      <c r="G44" s="63">
        <f t="shared" si="20"/>
        <v>60</v>
      </c>
      <c r="H44" s="63">
        <f t="shared" si="20"/>
        <v>60</v>
      </c>
      <c r="I44" s="63">
        <f t="shared" si="20"/>
        <v>60</v>
      </c>
      <c r="J44" s="63">
        <f t="shared" si="20"/>
        <v>60</v>
      </c>
      <c r="K44" s="63">
        <f t="shared" si="20"/>
        <v>60</v>
      </c>
      <c r="L44" s="63">
        <f t="shared" si="20"/>
        <v>60</v>
      </c>
      <c r="M44" s="63">
        <f>$B44</f>
        <v>60</v>
      </c>
      <c r="N44" s="47">
        <f>AVERAGE(B44:M44)</f>
        <v>60</v>
      </c>
      <c r="O44" s="35"/>
      <c r="P44" s="35"/>
      <c r="Q44" s="35"/>
      <c r="R44" s="35"/>
      <c r="S44" s="35"/>
      <c r="T44" s="35"/>
      <c r="U44" s="35"/>
      <c r="V44" s="35"/>
      <c r="W44" s="35"/>
      <c r="X44" s="35"/>
      <c r="Y44" s="35"/>
      <c r="Z44" s="35"/>
    </row>
    <row r="45" spans="1:26" ht="10.5" customHeight="1" x14ac:dyDescent="0.3">
      <c r="A45" s="35" t="s">
        <v>16</v>
      </c>
      <c r="B45" s="35">
        <f>'Entrada de $'!B44</f>
        <v>100</v>
      </c>
      <c r="C45" s="35">
        <f>'Entrada de $'!C44</f>
        <v>100</v>
      </c>
      <c r="D45" s="35">
        <f>'Entrada de $'!D44</f>
        <v>100</v>
      </c>
      <c r="E45" s="35">
        <f>'Entrada de $'!E44</f>
        <v>100</v>
      </c>
      <c r="F45" s="35">
        <f>'Entrada de $'!F44</f>
        <v>110</v>
      </c>
      <c r="G45" s="35">
        <f>'Entrada de $'!G44</f>
        <v>110</v>
      </c>
      <c r="H45" s="35">
        <f>'Entrada de $'!H44</f>
        <v>110</v>
      </c>
      <c r="I45" s="35">
        <f>'Entrada de $'!I44</f>
        <v>120</v>
      </c>
      <c r="J45" s="35">
        <f>'Entrada de $'!J44</f>
        <v>120</v>
      </c>
      <c r="K45" s="35">
        <f>'Entrada de $'!K44</f>
        <v>120</v>
      </c>
      <c r="L45" s="35">
        <f>'Entrada de $'!L44</f>
        <v>120</v>
      </c>
      <c r="M45" s="35">
        <f>'Entrada de $'!M44</f>
        <v>100</v>
      </c>
      <c r="N45" s="35">
        <f>SUM(B45:M45)</f>
        <v>1310</v>
      </c>
      <c r="O45" s="35"/>
      <c r="P45" s="35"/>
      <c r="Q45" s="35"/>
      <c r="R45" s="35"/>
      <c r="S45" s="35"/>
      <c r="T45" s="35"/>
      <c r="U45" s="35"/>
      <c r="V45" s="35"/>
      <c r="W45" s="35"/>
      <c r="X45" s="35"/>
      <c r="Y45" s="35"/>
      <c r="Z45" s="35"/>
    </row>
    <row r="46" spans="1:26" ht="10.5" customHeight="1" x14ac:dyDescent="0.3">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10.5" customHeight="1" x14ac:dyDescent="0.3">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10.5" customHeight="1" x14ac:dyDescent="0.3">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10.5" customHeight="1" x14ac:dyDescent="0.3">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10.5" customHeight="1" x14ac:dyDescent="0.3">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0.5" customHeight="1" x14ac:dyDescent="0.3">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10.5" customHeight="1" x14ac:dyDescent="0.3">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10.5" customHeight="1" x14ac:dyDescent="0.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10.5" customHeight="1" x14ac:dyDescent="0.3">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10.5" customHeight="1" x14ac:dyDescent="0.3">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0.5" customHeight="1" x14ac:dyDescent="0.3">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0.5" customHeight="1" x14ac:dyDescent="0.3">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0.5" customHeight="1" x14ac:dyDescent="0.3">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0.5" customHeight="1" x14ac:dyDescent="0.3">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0.5" customHeight="1" x14ac:dyDescent="0.3">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0.5" customHeight="1" x14ac:dyDescent="0.3">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0.5" customHeight="1" x14ac:dyDescent="0.3">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0.5" customHeight="1" x14ac:dyDescent="0.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0.5" customHeight="1" x14ac:dyDescent="0.3">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0.5" customHeight="1" x14ac:dyDescent="0.3">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0.5" customHeight="1" x14ac:dyDescent="0.3">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0.5" customHeight="1" x14ac:dyDescent="0.3">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0.5" customHeight="1" x14ac:dyDescent="0.3">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0.5" customHeight="1" x14ac:dyDescent="0.3">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0.5" customHeight="1" x14ac:dyDescent="0.3">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0.5" customHeight="1" x14ac:dyDescent="0.3">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0.5" customHeight="1" x14ac:dyDescent="0.3">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0.5" customHeight="1" x14ac:dyDescent="0.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0.5" customHeight="1" x14ac:dyDescent="0.3">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0.5" customHeight="1" x14ac:dyDescent="0.3">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0.5" customHeight="1" x14ac:dyDescent="0.3">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0.5" customHeight="1" x14ac:dyDescent="0.3">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0.5" customHeight="1" x14ac:dyDescent="0.3">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0.5" customHeight="1" x14ac:dyDescent="0.3">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0.5" customHeight="1" x14ac:dyDescent="0.3">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0.5" customHeight="1" x14ac:dyDescent="0.3">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0.5" customHeight="1" x14ac:dyDescent="0.3">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0.5" customHeight="1" x14ac:dyDescent="0.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0.5" customHeight="1" x14ac:dyDescent="0.3">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0.5" customHeight="1" x14ac:dyDescent="0.3">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0.5" customHeight="1" x14ac:dyDescent="0.3">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0.5" customHeight="1" x14ac:dyDescent="0.3">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0.5" customHeight="1" x14ac:dyDescent="0.3">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0.5" customHeight="1" x14ac:dyDescent="0.3">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0.5" customHeight="1" x14ac:dyDescent="0.3">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0.5" customHeight="1" x14ac:dyDescent="0.3">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0.5" customHeight="1" x14ac:dyDescent="0.3">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0.5" customHeight="1" x14ac:dyDescent="0.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0.5" customHeight="1" x14ac:dyDescent="0.3">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0.5" customHeight="1" x14ac:dyDescent="0.3">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0.5" customHeight="1" x14ac:dyDescent="0.3">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0.5" customHeight="1" x14ac:dyDescent="0.3">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0.5" customHeight="1" x14ac:dyDescent="0.3">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0.5" customHeight="1" x14ac:dyDescent="0.3">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0.5" customHeight="1" x14ac:dyDescent="0.3">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0.5" customHeight="1" x14ac:dyDescent="0.3">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0.5" customHeight="1" x14ac:dyDescent="0.3">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0.5" customHeight="1" x14ac:dyDescent="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0.5" customHeight="1" x14ac:dyDescent="0.3">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0.5" customHeight="1" x14ac:dyDescent="0.3">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0.5" customHeight="1" x14ac:dyDescent="0.3">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0.5" customHeight="1" x14ac:dyDescent="0.3">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0.5" customHeight="1" x14ac:dyDescent="0.3">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0.5" customHeight="1" x14ac:dyDescent="0.3">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0.5" customHeight="1" x14ac:dyDescent="0.3">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0.5" customHeight="1" x14ac:dyDescent="0.3">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0.5" customHeight="1" x14ac:dyDescent="0.3">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0.5" customHeight="1" x14ac:dyDescent="0.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0.5" customHeight="1" x14ac:dyDescent="0.3">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0.5" customHeight="1" x14ac:dyDescent="0.3">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0.5" customHeight="1" x14ac:dyDescent="0.3">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0.5" customHeight="1" x14ac:dyDescent="0.3">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0.5" customHeight="1" x14ac:dyDescent="0.3">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0.5" customHeight="1" x14ac:dyDescent="0.3">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0.5" customHeight="1" x14ac:dyDescent="0.3">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0.5" customHeight="1" x14ac:dyDescent="0.3">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0.5" customHeight="1" x14ac:dyDescent="0.3">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0.5" customHeight="1" x14ac:dyDescent="0.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0.5" customHeight="1" x14ac:dyDescent="0.3">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0.5" customHeight="1" x14ac:dyDescent="0.3">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0.5" customHeight="1" x14ac:dyDescent="0.3">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0.5" customHeight="1" x14ac:dyDescent="0.3">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0.5" customHeight="1" x14ac:dyDescent="0.3">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0.5" customHeight="1" x14ac:dyDescent="0.3">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0.5" customHeight="1" x14ac:dyDescent="0.3">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0.5" customHeight="1" x14ac:dyDescent="0.3">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0.5" customHeight="1" x14ac:dyDescent="0.3">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0.5" customHeight="1" x14ac:dyDescent="0.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0.5" customHeight="1" x14ac:dyDescent="0.3">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0.5" customHeight="1" x14ac:dyDescent="0.3">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0.5" customHeight="1" x14ac:dyDescent="0.3">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0.5" customHeight="1" x14ac:dyDescent="0.3">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0.5" customHeight="1" x14ac:dyDescent="0.3">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0.5" customHeight="1" x14ac:dyDescent="0.3">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0.5" customHeight="1" x14ac:dyDescent="0.3">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0.5" customHeight="1" x14ac:dyDescent="0.3">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0.5" customHeight="1" x14ac:dyDescent="0.3">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0.5" customHeight="1" x14ac:dyDescent="0.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0.5" customHeight="1" x14ac:dyDescent="0.3">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0.5" customHeight="1" x14ac:dyDescent="0.3">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0.5" customHeigh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0.5" customHeight="1" x14ac:dyDescent="0.3">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0.5" customHeight="1" x14ac:dyDescent="0.3">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0.5" customHeight="1" x14ac:dyDescent="0.3">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0.5" customHeight="1" x14ac:dyDescent="0.3">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0.5" customHeight="1" x14ac:dyDescent="0.3">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0.5" customHeight="1" x14ac:dyDescent="0.3">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0.5" customHeight="1" x14ac:dyDescent="0.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0.5" customHeight="1" x14ac:dyDescent="0.3">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0.5" customHeight="1" x14ac:dyDescent="0.3">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0.5" customHeight="1" x14ac:dyDescent="0.3">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0.5" customHeight="1" x14ac:dyDescent="0.3">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0.5" customHeight="1" x14ac:dyDescent="0.3">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0.5" customHeight="1" x14ac:dyDescent="0.3">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0.5" customHeight="1" x14ac:dyDescent="0.3">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0.5" customHeight="1" x14ac:dyDescent="0.3">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0.5" customHeight="1" x14ac:dyDescent="0.3">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0.5" customHeight="1" x14ac:dyDescent="0.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0.5" customHeight="1" x14ac:dyDescent="0.3">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0.5" customHeight="1" x14ac:dyDescent="0.3">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0.5" customHeight="1" x14ac:dyDescent="0.3">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0.5" customHeight="1" x14ac:dyDescent="0.3">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0.5" customHeight="1" x14ac:dyDescent="0.3">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0.5" customHeight="1" x14ac:dyDescent="0.3">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0.5" customHeight="1" x14ac:dyDescent="0.3">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0.5" customHeight="1" x14ac:dyDescent="0.3">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0.5" customHeight="1" x14ac:dyDescent="0.3">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0.5" customHeight="1" x14ac:dyDescent="0.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0.5" customHeight="1" x14ac:dyDescent="0.3">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0.5" customHeight="1" x14ac:dyDescent="0.3">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0.5" customHeight="1" x14ac:dyDescent="0.3">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0.5" customHeight="1" x14ac:dyDescent="0.3">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0.5" customHeight="1" x14ac:dyDescent="0.3">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0.5" customHeight="1" x14ac:dyDescent="0.3">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0.5" customHeight="1" x14ac:dyDescent="0.3">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0.5" customHeight="1" x14ac:dyDescent="0.3">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0.5" customHeight="1" x14ac:dyDescent="0.3">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0.5" customHeight="1" x14ac:dyDescent="0.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0.5" customHeight="1" x14ac:dyDescent="0.3">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0.5" customHeight="1" x14ac:dyDescent="0.3">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0.5" customHeight="1" x14ac:dyDescent="0.3">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0.5" customHeight="1" x14ac:dyDescent="0.3">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0.5" customHeight="1" x14ac:dyDescent="0.3">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0.5" customHeight="1" x14ac:dyDescent="0.3">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0.5" customHeight="1" x14ac:dyDescent="0.3">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0.5" customHeight="1" x14ac:dyDescent="0.3">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0.5" customHeight="1" x14ac:dyDescent="0.3">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0.5" customHeight="1" x14ac:dyDescent="0.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0.5" customHeight="1" x14ac:dyDescent="0.3">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0.5" customHeight="1" x14ac:dyDescent="0.3">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0.5" customHeight="1" x14ac:dyDescent="0.3">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0.5" customHeight="1" x14ac:dyDescent="0.3">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0.5" customHeight="1" x14ac:dyDescent="0.3">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0.5" customHeight="1" x14ac:dyDescent="0.3">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0.5" customHeight="1" x14ac:dyDescent="0.3">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0.5" customHeight="1" x14ac:dyDescent="0.3">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0.5" customHeight="1" x14ac:dyDescent="0.3">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0.5" customHeight="1" x14ac:dyDescent="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0.5" customHeight="1" x14ac:dyDescent="0.3">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0.5" customHeight="1" x14ac:dyDescent="0.3">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0.5" customHeight="1" x14ac:dyDescent="0.3">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0.5" customHeight="1" x14ac:dyDescent="0.3">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0.5" customHeight="1" x14ac:dyDescent="0.3">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0.5" customHeight="1" x14ac:dyDescent="0.3">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0.5" customHeight="1" x14ac:dyDescent="0.3">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0.5" customHeight="1" x14ac:dyDescent="0.3">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0.5" customHeight="1" x14ac:dyDescent="0.3">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0.5" customHeight="1" x14ac:dyDescent="0.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0.5" customHeight="1" x14ac:dyDescent="0.3">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0.5" customHeight="1" x14ac:dyDescent="0.3">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0.5" customHeight="1" x14ac:dyDescent="0.3">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0.5" customHeight="1" x14ac:dyDescent="0.3">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0.5" customHeight="1" x14ac:dyDescent="0.3">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0.5" customHeight="1" x14ac:dyDescent="0.3">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0.5" customHeight="1" x14ac:dyDescent="0.3">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0.5" customHeight="1" x14ac:dyDescent="0.3">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0.5" customHeight="1" x14ac:dyDescent="0.3">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0.5" customHeight="1" x14ac:dyDescent="0.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0.5" customHeight="1" x14ac:dyDescent="0.3">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0.5" customHeight="1" x14ac:dyDescent="0.3">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0.5" customHeight="1" x14ac:dyDescent="0.3">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0.5" customHeight="1" x14ac:dyDescent="0.3">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0.5" customHeight="1" x14ac:dyDescent="0.3">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0.5" customHeight="1" x14ac:dyDescent="0.3">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0.5" customHeight="1" x14ac:dyDescent="0.3">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0.5" customHeight="1" x14ac:dyDescent="0.3">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0.5" customHeight="1" x14ac:dyDescent="0.3">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0.5" customHeight="1" x14ac:dyDescent="0.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0.5" customHeight="1" x14ac:dyDescent="0.3">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0.5" customHeight="1" x14ac:dyDescent="0.3">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0.5" customHeight="1" x14ac:dyDescent="0.3">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0.5" customHeight="1" x14ac:dyDescent="0.3">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0.5" customHeight="1" x14ac:dyDescent="0.3">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0.5" customHeight="1" x14ac:dyDescent="0.3">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0.5" customHeight="1" x14ac:dyDescent="0.3">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0.5" customHeight="1" x14ac:dyDescent="0.3">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0.5" customHeight="1" x14ac:dyDescent="0.3">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0.5" customHeight="1" x14ac:dyDescent="0.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0.5" customHeight="1" x14ac:dyDescent="0.3">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0.5" customHeight="1" x14ac:dyDescent="0.3">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3"/>
    <row r="247" spans="1:26" ht="15.75" customHeight="1" x14ac:dyDescent="0.3"/>
    <row r="248" spans="1:26" ht="15.75" customHeight="1" x14ac:dyDescent="0.3"/>
    <row r="249" spans="1:26" ht="15.75" customHeight="1" x14ac:dyDescent="0.3"/>
    <row r="250" spans="1:26" ht="15.75" customHeight="1" x14ac:dyDescent="0.3"/>
    <row r="251" spans="1:26" ht="15.75" customHeight="1" x14ac:dyDescent="0.3"/>
    <row r="252" spans="1:26" ht="15.75" customHeight="1" x14ac:dyDescent="0.3"/>
    <row r="253" spans="1:26" ht="15.75" customHeight="1" x14ac:dyDescent="0.3"/>
    <row r="254" spans="1:26" ht="15.75" customHeight="1" x14ac:dyDescent="0.3"/>
    <row r="255" spans="1:26" ht="15.75" customHeight="1" x14ac:dyDescent="0.3"/>
    <row r="256" spans="1:26" ht="15.75" customHeight="1" x14ac:dyDescent="0.3"/>
    <row r="257" s="29" customFormat="1" ht="15.75" customHeight="1" x14ac:dyDescent="0.3"/>
    <row r="258" s="29" customFormat="1" ht="15.75" customHeight="1" x14ac:dyDescent="0.3"/>
    <row r="259" s="29" customFormat="1" ht="15.75" customHeight="1" x14ac:dyDescent="0.3"/>
    <row r="260" s="29" customFormat="1" ht="15.75" customHeight="1" x14ac:dyDescent="0.3"/>
    <row r="261" s="29" customFormat="1" ht="15.75" customHeight="1" x14ac:dyDescent="0.3"/>
    <row r="262" s="29" customFormat="1" ht="15.75" customHeight="1" x14ac:dyDescent="0.3"/>
    <row r="263" s="29" customFormat="1" ht="15.75" customHeight="1" x14ac:dyDescent="0.3"/>
    <row r="264" s="29" customFormat="1" ht="15.75" customHeight="1" x14ac:dyDescent="0.3"/>
    <row r="265" s="29" customFormat="1" ht="15.75" customHeight="1" x14ac:dyDescent="0.3"/>
    <row r="266" s="29" customFormat="1" ht="15.75" customHeight="1" x14ac:dyDescent="0.3"/>
    <row r="267" s="29" customFormat="1" ht="15.75" customHeight="1" x14ac:dyDescent="0.3"/>
    <row r="268" s="29" customFormat="1" ht="15.75" customHeight="1" x14ac:dyDescent="0.3"/>
    <row r="269" s="29" customFormat="1" ht="15.75" customHeight="1" x14ac:dyDescent="0.3"/>
    <row r="270" s="29" customFormat="1" ht="15.75" customHeight="1" x14ac:dyDescent="0.3"/>
    <row r="271" s="29" customFormat="1" ht="15.75" customHeight="1" x14ac:dyDescent="0.3"/>
    <row r="272" s="29" customFormat="1" ht="15.75" customHeight="1" x14ac:dyDescent="0.3"/>
    <row r="273" s="29" customFormat="1" ht="15.75" customHeight="1" x14ac:dyDescent="0.3"/>
    <row r="274" s="29" customFormat="1" ht="15.75" customHeight="1" x14ac:dyDescent="0.3"/>
    <row r="275" s="29" customFormat="1" ht="15.75" customHeight="1" x14ac:dyDescent="0.3"/>
    <row r="276" s="29" customFormat="1" ht="15.75" customHeight="1" x14ac:dyDescent="0.3"/>
    <row r="277" s="29" customFormat="1" ht="15.75" customHeight="1" x14ac:dyDescent="0.3"/>
    <row r="278" s="29" customFormat="1" ht="15.75" customHeight="1" x14ac:dyDescent="0.3"/>
    <row r="279" s="29" customFormat="1" ht="15.75" customHeight="1" x14ac:dyDescent="0.3"/>
    <row r="280" s="29" customFormat="1" ht="15.75" customHeight="1" x14ac:dyDescent="0.3"/>
    <row r="281" s="29" customFormat="1" ht="15.75" customHeight="1" x14ac:dyDescent="0.3"/>
    <row r="282" s="29" customFormat="1" ht="15.75" customHeight="1" x14ac:dyDescent="0.3"/>
    <row r="283" s="29" customFormat="1" ht="15.75" customHeight="1" x14ac:dyDescent="0.3"/>
    <row r="284" s="29" customFormat="1" ht="15.75" customHeight="1" x14ac:dyDescent="0.3"/>
    <row r="285" s="29" customFormat="1" ht="15.75" customHeight="1" x14ac:dyDescent="0.3"/>
    <row r="286" s="29" customFormat="1" ht="15.75" customHeight="1" x14ac:dyDescent="0.3"/>
    <row r="287" s="29" customFormat="1" ht="15.75" customHeight="1" x14ac:dyDescent="0.3"/>
    <row r="288" s="29" customFormat="1" ht="15.75" customHeight="1" x14ac:dyDescent="0.3"/>
    <row r="289" s="29" customFormat="1" ht="15.75" customHeight="1" x14ac:dyDescent="0.3"/>
    <row r="290" s="29" customFormat="1" ht="15.75" customHeight="1" x14ac:dyDescent="0.3"/>
    <row r="291" s="29" customFormat="1" ht="15.75" customHeight="1" x14ac:dyDescent="0.3"/>
    <row r="292" s="29" customFormat="1" ht="15.75" customHeight="1" x14ac:dyDescent="0.3"/>
    <row r="293" s="29" customFormat="1" ht="15.75" customHeight="1" x14ac:dyDescent="0.3"/>
    <row r="294" s="29" customFormat="1" ht="15.75" customHeight="1" x14ac:dyDescent="0.3"/>
    <row r="295" s="29" customFormat="1" ht="15.75" customHeight="1" x14ac:dyDescent="0.3"/>
    <row r="296" s="29" customFormat="1" ht="15.75" customHeight="1" x14ac:dyDescent="0.3"/>
    <row r="297" s="29" customFormat="1" ht="15.75" customHeight="1" x14ac:dyDescent="0.3"/>
    <row r="298" s="29" customFormat="1" ht="15.75" customHeight="1" x14ac:dyDescent="0.3"/>
    <row r="299" s="29" customFormat="1" ht="15.75" customHeight="1" x14ac:dyDescent="0.3"/>
    <row r="300" s="29" customFormat="1" ht="15.75" customHeight="1" x14ac:dyDescent="0.3"/>
    <row r="301" s="29" customFormat="1" ht="15.75" customHeight="1" x14ac:dyDescent="0.3"/>
    <row r="302" s="29" customFormat="1" ht="15.75" customHeight="1" x14ac:dyDescent="0.3"/>
    <row r="303" s="29" customFormat="1" ht="15.75" customHeight="1" x14ac:dyDescent="0.3"/>
    <row r="304" s="29" customFormat="1" ht="15.75" customHeight="1" x14ac:dyDescent="0.3"/>
    <row r="305" s="29" customFormat="1" ht="15.75" customHeight="1" x14ac:dyDescent="0.3"/>
    <row r="306" s="29" customFormat="1" ht="15.75" customHeight="1" x14ac:dyDescent="0.3"/>
    <row r="307" s="29" customFormat="1" ht="15.75" customHeight="1" x14ac:dyDescent="0.3"/>
    <row r="308" s="29" customFormat="1" ht="15.75" customHeight="1" x14ac:dyDescent="0.3"/>
    <row r="309" s="29" customFormat="1" ht="15.75" customHeight="1" x14ac:dyDescent="0.3"/>
    <row r="310" s="29" customFormat="1" ht="15.75" customHeight="1" x14ac:dyDescent="0.3"/>
    <row r="311" s="29" customFormat="1" ht="15.75" customHeight="1" x14ac:dyDescent="0.3"/>
    <row r="312" s="29" customFormat="1" ht="15.75" customHeight="1" x14ac:dyDescent="0.3"/>
    <row r="313" s="29" customFormat="1" ht="15.75" customHeight="1" x14ac:dyDescent="0.3"/>
    <row r="314" s="29" customFormat="1" ht="15.75" customHeight="1" x14ac:dyDescent="0.3"/>
    <row r="315" s="29" customFormat="1" ht="15.75" customHeight="1" x14ac:dyDescent="0.3"/>
    <row r="316" s="29" customFormat="1" ht="15.75" customHeight="1" x14ac:dyDescent="0.3"/>
    <row r="317" s="29" customFormat="1" ht="15.75" customHeight="1" x14ac:dyDescent="0.3"/>
    <row r="318" s="29" customFormat="1" ht="15.75" customHeight="1" x14ac:dyDescent="0.3"/>
    <row r="319" s="29" customFormat="1" ht="15.75" customHeight="1" x14ac:dyDescent="0.3"/>
    <row r="320" s="29" customFormat="1" ht="15.75" customHeight="1" x14ac:dyDescent="0.3"/>
    <row r="321" s="29" customFormat="1" ht="15.75" customHeight="1" x14ac:dyDescent="0.3"/>
    <row r="322" s="29" customFormat="1" ht="15.75" customHeight="1" x14ac:dyDescent="0.3"/>
    <row r="323" s="29" customFormat="1" ht="15.75" customHeight="1" x14ac:dyDescent="0.3"/>
    <row r="324" s="29" customFormat="1" ht="15.75" customHeight="1" x14ac:dyDescent="0.3"/>
    <row r="325" s="29" customFormat="1" ht="15.75" customHeight="1" x14ac:dyDescent="0.3"/>
    <row r="326" s="29" customFormat="1" ht="15.75" customHeight="1" x14ac:dyDescent="0.3"/>
    <row r="327" s="29" customFormat="1" ht="15.75" customHeight="1" x14ac:dyDescent="0.3"/>
    <row r="328" s="29" customFormat="1" ht="15.75" customHeight="1" x14ac:dyDescent="0.3"/>
    <row r="329" s="29" customFormat="1" ht="15.75" customHeight="1" x14ac:dyDescent="0.3"/>
    <row r="330" s="29" customFormat="1" ht="15.75" customHeight="1" x14ac:dyDescent="0.3"/>
    <row r="331" s="29" customFormat="1" ht="15.75" customHeight="1" x14ac:dyDescent="0.3"/>
    <row r="332" s="29" customFormat="1" ht="15.75" customHeight="1" x14ac:dyDescent="0.3"/>
    <row r="333" s="29" customFormat="1" ht="15.75" customHeight="1" x14ac:dyDescent="0.3"/>
    <row r="334" s="29" customFormat="1" ht="15.75" customHeight="1" x14ac:dyDescent="0.3"/>
    <row r="335" s="29" customFormat="1" ht="15.75" customHeight="1" x14ac:dyDescent="0.3"/>
    <row r="336" s="29" customFormat="1" ht="15.75" customHeight="1" x14ac:dyDescent="0.3"/>
    <row r="337" s="29" customFormat="1" ht="15.75" customHeight="1" x14ac:dyDescent="0.3"/>
    <row r="338" s="29" customFormat="1" ht="15.75" customHeight="1" x14ac:dyDescent="0.3"/>
    <row r="339" s="29" customFormat="1" ht="15.75" customHeight="1" x14ac:dyDescent="0.3"/>
    <row r="340" s="29" customFormat="1" ht="15.75" customHeight="1" x14ac:dyDescent="0.3"/>
    <row r="341" s="29" customFormat="1" ht="15.75" customHeight="1" x14ac:dyDescent="0.3"/>
    <row r="342" s="29" customFormat="1" ht="15.75" customHeight="1" x14ac:dyDescent="0.3"/>
    <row r="343" s="29" customFormat="1" ht="15.75" customHeight="1" x14ac:dyDescent="0.3"/>
    <row r="344" s="29" customFormat="1" ht="15.75" customHeight="1" x14ac:dyDescent="0.3"/>
    <row r="345" s="29" customFormat="1" ht="15.75" customHeight="1" x14ac:dyDescent="0.3"/>
    <row r="346" s="29" customFormat="1" ht="15.75" customHeight="1" x14ac:dyDescent="0.3"/>
    <row r="347" s="29" customFormat="1" ht="15.75" customHeight="1" x14ac:dyDescent="0.3"/>
    <row r="348" s="29" customFormat="1" ht="15.75" customHeight="1" x14ac:dyDescent="0.3"/>
    <row r="349" s="29" customFormat="1" ht="15.75" customHeight="1" x14ac:dyDescent="0.3"/>
    <row r="350" s="29" customFormat="1" ht="15.75" customHeight="1" x14ac:dyDescent="0.3"/>
    <row r="351" s="29" customFormat="1" ht="15.75" customHeight="1" x14ac:dyDescent="0.3"/>
    <row r="352" s="29" customFormat="1" ht="15.75" customHeight="1" x14ac:dyDescent="0.3"/>
    <row r="353" s="29" customFormat="1" ht="15.75" customHeight="1" x14ac:dyDescent="0.3"/>
    <row r="354" s="29" customFormat="1" ht="15.75" customHeight="1" x14ac:dyDescent="0.3"/>
    <row r="355" s="29" customFormat="1" ht="15.75" customHeight="1" x14ac:dyDescent="0.3"/>
    <row r="356" s="29" customFormat="1" ht="15.75" customHeight="1" x14ac:dyDescent="0.3"/>
    <row r="357" s="29" customFormat="1" ht="15.75" customHeight="1" x14ac:dyDescent="0.3"/>
    <row r="358" s="29" customFormat="1" ht="15.75" customHeight="1" x14ac:dyDescent="0.3"/>
    <row r="359" s="29" customFormat="1" ht="15.75" customHeight="1" x14ac:dyDescent="0.3"/>
    <row r="360" s="29" customFormat="1" ht="15.75" customHeight="1" x14ac:dyDescent="0.3"/>
    <row r="361" s="29" customFormat="1" ht="15.75" customHeight="1" x14ac:dyDescent="0.3"/>
    <row r="362" s="29" customFormat="1" ht="15.75" customHeight="1" x14ac:dyDescent="0.3"/>
    <row r="363" s="29" customFormat="1" ht="15.75" customHeight="1" x14ac:dyDescent="0.3"/>
    <row r="364" s="29" customFormat="1" ht="15.75" customHeight="1" x14ac:dyDescent="0.3"/>
    <row r="365" s="29" customFormat="1" ht="15.75" customHeight="1" x14ac:dyDescent="0.3"/>
    <row r="366" s="29" customFormat="1" ht="15.75" customHeight="1" x14ac:dyDescent="0.3"/>
    <row r="367" s="29" customFormat="1" ht="15.75" customHeight="1" x14ac:dyDescent="0.3"/>
    <row r="368" s="29" customFormat="1" ht="15.75" customHeight="1" x14ac:dyDescent="0.3"/>
    <row r="369" s="29" customFormat="1" ht="15.75" customHeight="1" x14ac:dyDescent="0.3"/>
    <row r="370" s="29" customFormat="1" ht="15.75" customHeight="1" x14ac:dyDescent="0.3"/>
    <row r="371" s="29" customFormat="1" ht="15.75" customHeight="1" x14ac:dyDescent="0.3"/>
    <row r="372" s="29" customFormat="1" ht="15.75" customHeight="1" x14ac:dyDescent="0.3"/>
    <row r="373" s="29" customFormat="1" ht="15.75" customHeight="1" x14ac:dyDescent="0.3"/>
    <row r="374" s="29" customFormat="1" ht="15.75" customHeight="1" x14ac:dyDescent="0.3"/>
    <row r="375" s="29" customFormat="1" ht="15.75" customHeight="1" x14ac:dyDescent="0.3"/>
    <row r="376" s="29" customFormat="1" ht="15.75" customHeight="1" x14ac:dyDescent="0.3"/>
    <row r="377" s="29" customFormat="1" ht="15.75" customHeight="1" x14ac:dyDescent="0.3"/>
    <row r="378" s="29" customFormat="1" ht="15.75" customHeight="1" x14ac:dyDescent="0.3"/>
    <row r="379" s="29" customFormat="1" ht="15.75" customHeight="1" x14ac:dyDescent="0.3"/>
    <row r="380" s="29" customFormat="1" ht="15.75" customHeight="1" x14ac:dyDescent="0.3"/>
    <row r="381" s="29" customFormat="1" ht="15.75" customHeight="1" x14ac:dyDescent="0.3"/>
    <row r="382" s="29" customFormat="1" ht="15.75" customHeight="1" x14ac:dyDescent="0.3"/>
    <row r="383" s="29" customFormat="1" ht="15.75" customHeight="1" x14ac:dyDescent="0.3"/>
    <row r="384" s="29" customFormat="1" ht="15.75" customHeight="1" x14ac:dyDescent="0.3"/>
    <row r="385" s="29" customFormat="1" ht="15.75" customHeight="1" x14ac:dyDescent="0.3"/>
    <row r="386" s="29" customFormat="1" ht="15.75" customHeight="1" x14ac:dyDescent="0.3"/>
    <row r="387" s="29" customFormat="1" ht="15.75" customHeight="1" x14ac:dyDescent="0.3"/>
    <row r="388" s="29" customFormat="1" ht="15.75" customHeight="1" x14ac:dyDescent="0.3"/>
    <row r="389" s="29" customFormat="1" ht="15.75" customHeight="1" x14ac:dyDescent="0.3"/>
    <row r="390" s="29" customFormat="1" ht="15.75" customHeight="1" x14ac:dyDescent="0.3"/>
    <row r="391" s="29" customFormat="1" ht="15.75" customHeight="1" x14ac:dyDescent="0.3"/>
    <row r="392" s="29" customFormat="1" ht="15.75" customHeight="1" x14ac:dyDescent="0.3"/>
    <row r="393" s="29" customFormat="1" ht="15.75" customHeight="1" x14ac:dyDescent="0.3"/>
    <row r="394" s="29" customFormat="1" ht="15.75" customHeight="1" x14ac:dyDescent="0.3"/>
    <row r="395" s="29" customFormat="1" ht="15.75" customHeight="1" x14ac:dyDescent="0.3"/>
    <row r="396" s="29" customFormat="1" ht="15.75" customHeight="1" x14ac:dyDescent="0.3"/>
    <row r="397" s="29" customFormat="1" ht="15.75" customHeight="1" x14ac:dyDescent="0.3"/>
    <row r="398" s="29" customFormat="1" ht="15.75" customHeight="1" x14ac:dyDescent="0.3"/>
    <row r="399" s="29" customFormat="1" ht="15.75" customHeight="1" x14ac:dyDescent="0.3"/>
    <row r="400" s="29" customFormat="1" ht="15.75" customHeight="1" x14ac:dyDescent="0.3"/>
    <row r="401" s="29" customFormat="1" ht="15.75" customHeight="1" x14ac:dyDescent="0.3"/>
    <row r="402" s="29" customFormat="1" ht="15.75" customHeight="1" x14ac:dyDescent="0.3"/>
    <row r="403" s="29" customFormat="1" ht="15.75" customHeight="1" x14ac:dyDescent="0.3"/>
    <row r="404" s="29" customFormat="1" ht="15.75" customHeight="1" x14ac:dyDescent="0.3"/>
    <row r="405" s="29" customFormat="1" ht="15.75" customHeight="1" x14ac:dyDescent="0.3"/>
    <row r="406" s="29" customFormat="1" ht="15.75" customHeight="1" x14ac:dyDescent="0.3"/>
    <row r="407" s="29" customFormat="1" ht="15.75" customHeight="1" x14ac:dyDescent="0.3"/>
    <row r="408" s="29" customFormat="1" ht="15.75" customHeight="1" x14ac:dyDescent="0.3"/>
    <row r="409" s="29" customFormat="1" ht="15.75" customHeight="1" x14ac:dyDescent="0.3"/>
    <row r="410" s="29" customFormat="1" ht="15.75" customHeight="1" x14ac:dyDescent="0.3"/>
    <row r="411" s="29" customFormat="1" ht="15.75" customHeight="1" x14ac:dyDescent="0.3"/>
    <row r="412" s="29" customFormat="1" ht="15.75" customHeight="1" x14ac:dyDescent="0.3"/>
    <row r="413" s="29" customFormat="1" ht="15.75" customHeight="1" x14ac:dyDescent="0.3"/>
    <row r="414" s="29" customFormat="1" ht="15.75" customHeight="1" x14ac:dyDescent="0.3"/>
    <row r="415" s="29" customFormat="1" ht="15.75" customHeight="1" x14ac:dyDescent="0.3"/>
    <row r="416" s="29" customFormat="1" ht="15.75" customHeight="1" x14ac:dyDescent="0.3"/>
    <row r="417" s="29" customFormat="1" ht="15.75" customHeight="1" x14ac:dyDescent="0.3"/>
    <row r="418" s="29" customFormat="1" ht="15.75" customHeight="1" x14ac:dyDescent="0.3"/>
    <row r="419" s="29" customFormat="1" ht="15.75" customHeight="1" x14ac:dyDescent="0.3"/>
    <row r="420" s="29" customFormat="1" ht="15.75" customHeight="1" x14ac:dyDescent="0.3"/>
    <row r="421" s="29" customFormat="1" ht="15.75" customHeight="1" x14ac:dyDescent="0.3"/>
    <row r="422" s="29" customFormat="1" ht="15.75" customHeight="1" x14ac:dyDescent="0.3"/>
    <row r="423" s="29" customFormat="1" ht="15.75" customHeight="1" x14ac:dyDescent="0.3"/>
    <row r="424" s="29" customFormat="1" ht="15.75" customHeight="1" x14ac:dyDescent="0.3"/>
    <row r="425" s="29" customFormat="1" ht="15.75" customHeight="1" x14ac:dyDescent="0.3"/>
    <row r="426" s="29" customFormat="1" ht="15.75" customHeight="1" x14ac:dyDescent="0.3"/>
    <row r="427" s="29" customFormat="1" ht="15.75" customHeight="1" x14ac:dyDescent="0.3"/>
    <row r="428" s="29" customFormat="1" ht="15.75" customHeight="1" x14ac:dyDescent="0.3"/>
    <row r="429" s="29" customFormat="1" ht="15.75" customHeight="1" x14ac:dyDescent="0.3"/>
    <row r="430" s="29" customFormat="1" ht="15.75" customHeight="1" x14ac:dyDescent="0.3"/>
    <row r="431" s="29" customFormat="1" ht="15.75" customHeight="1" x14ac:dyDescent="0.3"/>
    <row r="432" s="29" customFormat="1" ht="15.75" customHeight="1" x14ac:dyDescent="0.3"/>
    <row r="433" s="29" customFormat="1" ht="15.75" customHeight="1" x14ac:dyDescent="0.3"/>
    <row r="434" s="29" customFormat="1" ht="15.75" customHeight="1" x14ac:dyDescent="0.3"/>
    <row r="435" s="29" customFormat="1" ht="15.75" customHeight="1" x14ac:dyDescent="0.3"/>
    <row r="436" s="29" customFormat="1" ht="15.75" customHeight="1" x14ac:dyDescent="0.3"/>
    <row r="437" s="29" customFormat="1" ht="15.75" customHeight="1" x14ac:dyDescent="0.3"/>
    <row r="438" s="29" customFormat="1" ht="15.75" customHeight="1" x14ac:dyDescent="0.3"/>
    <row r="439" s="29" customFormat="1" ht="15.75" customHeight="1" x14ac:dyDescent="0.3"/>
    <row r="440" s="29" customFormat="1" ht="15.75" customHeight="1" x14ac:dyDescent="0.3"/>
    <row r="441" s="29" customFormat="1" ht="15.75" customHeight="1" x14ac:dyDescent="0.3"/>
    <row r="442" s="29" customFormat="1" ht="15.75" customHeight="1" x14ac:dyDescent="0.3"/>
    <row r="443" s="29" customFormat="1" ht="15.75" customHeight="1" x14ac:dyDescent="0.3"/>
    <row r="444" s="29" customFormat="1" ht="15.75" customHeight="1" x14ac:dyDescent="0.3"/>
    <row r="445" s="29" customFormat="1" ht="15.75" customHeight="1" x14ac:dyDescent="0.3"/>
    <row r="446" s="29" customFormat="1" ht="15.75" customHeight="1" x14ac:dyDescent="0.3"/>
    <row r="447" s="29" customFormat="1" ht="15.75" customHeight="1" x14ac:dyDescent="0.3"/>
    <row r="448" s="29" customFormat="1" ht="15.75" customHeight="1" x14ac:dyDescent="0.3"/>
    <row r="449" s="29" customFormat="1" ht="15.75" customHeight="1" x14ac:dyDescent="0.3"/>
    <row r="450" s="29" customFormat="1" ht="15.75" customHeight="1" x14ac:dyDescent="0.3"/>
    <row r="451" s="29" customFormat="1" ht="15.75" customHeight="1" x14ac:dyDescent="0.3"/>
    <row r="452" s="29" customFormat="1" ht="15.75" customHeight="1" x14ac:dyDescent="0.3"/>
    <row r="453" s="29" customFormat="1" ht="15.75" customHeight="1" x14ac:dyDescent="0.3"/>
    <row r="454" s="29" customFormat="1" ht="15.75" customHeight="1" x14ac:dyDescent="0.3"/>
    <row r="455" s="29" customFormat="1" ht="15.75" customHeight="1" x14ac:dyDescent="0.3"/>
    <row r="456" s="29" customFormat="1" ht="15.75" customHeight="1" x14ac:dyDescent="0.3"/>
    <row r="457" s="29" customFormat="1" ht="15.75" customHeight="1" x14ac:dyDescent="0.3"/>
    <row r="458" s="29" customFormat="1" ht="15.75" customHeight="1" x14ac:dyDescent="0.3"/>
    <row r="459" s="29" customFormat="1" ht="15.75" customHeight="1" x14ac:dyDescent="0.3"/>
    <row r="460" s="29" customFormat="1" ht="15.75" customHeight="1" x14ac:dyDescent="0.3"/>
    <row r="461" s="29" customFormat="1" ht="15.75" customHeight="1" x14ac:dyDescent="0.3"/>
    <row r="462" s="29" customFormat="1" ht="15.75" customHeight="1" x14ac:dyDescent="0.3"/>
    <row r="463" s="29" customFormat="1" ht="15.75" customHeight="1" x14ac:dyDescent="0.3"/>
    <row r="464" s="29" customFormat="1" ht="15.75" customHeight="1" x14ac:dyDescent="0.3"/>
    <row r="465" s="29" customFormat="1" ht="15.75" customHeight="1" x14ac:dyDescent="0.3"/>
    <row r="466" s="29" customFormat="1" ht="15.75" customHeight="1" x14ac:dyDescent="0.3"/>
    <row r="467" s="29" customFormat="1" ht="15.75" customHeight="1" x14ac:dyDescent="0.3"/>
    <row r="468" s="29" customFormat="1" ht="15.75" customHeight="1" x14ac:dyDescent="0.3"/>
    <row r="469" s="29" customFormat="1" ht="15.75" customHeight="1" x14ac:dyDescent="0.3"/>
    <row r="470" s="29" customFormat="1" ht="15.75" customHeight="1" x14ac:dyDescent="0.3"/>
    <row r="471" s="29" customFormat="1" ht="15.75" customHeight="1" x14ac:dyDescent="0.3"/>
    <row r="472" s="29" customFormat="1" ht="15.75" customHeight="1" x14ac:dyDescent="0.3"/>
    <row r="473" s="29" customFormat="1" ht="15.75" customHeight="1" x14ac:dyDescent="0.3"/>
    <row r="474" s="29" customFormat="1" ht="15.75" customHeight="1" x14ac:dyDescent="0.3"/>
    <row r="475" s="29" customFormat="1" ht="15.75" customHeight="1" x14ac:dyDescent="0.3"/>
    <row r="476" s="29" customFormat="1" ht="15.75" customHeight="1" x14ac:dyDescent="0.3"/>
    <row r="477" s="29" customFormat="1" ht="15.75" customHeight="1" x14ac:dyDescent="0.3"/>
    <row r="478" s="29" customFormat="1" ht="15.75" customHeight="1" x14ac:dyDescent="0.3"/>
    <row r="479" s="29" customFormat="1" ht="15.75" customHeight="1" x14ac:dyDescent="0.3"/>
    <row r="480" s="29" customFormat="1" ht="15.75" customHeight="1" x14ac:dyDescent="0.3"/>
    <row r="481" s="29" customFormat="1" ht="15.75" customHeight="1" x14ac:dyDescent="0.3"/>
    <row r="482" s="29" customFormat="1" ht="15.75" customHeight="1" x14ac:dyDescent="0.3"/>
    <row r="483" s="29" customFormat="1" ht="15.75" customHeight="1" x14ac:dyDescent="0.3"/>
    <row r="484" s="29" customFormat="1" ht="15.75" customHeight="1" x14ac:dyDescent="0.3"/>
    <row r="485" s="29" customFormat="1" ht="15.75" customHeight="1" x14ac:dyDescent="0.3"/>
    <row r="486" s="29" customFormat="1" ht="15.75" customHeight="1" x14ac:dyDescent="0.3"/>
    <row r="487" s="29" customFormat="1" ht="15.75" customHeight="1" x14ac:dyDescent="0.3"/>
    <row r="488" s="29" customFormat="1" ht="15.75" customHeight="1" x14ac:dyDescent="0.3"/>
    <row r="489" s="29" customFormat="1" ht="15.75" customHeight="1" x14ac:dyDescent="0.3"/>
    <row r="490" s="29" customFormat="1" ht="15.75" customHeight="1" x14ac:dyDescent="0.3"/>
    <row r="491" s="29" customFormat="1" ht="15.75" customHeight="1" x14ac:dyDescent="0.3"/>
    <row r="492" s="29" customFormat="1" ht="15.75" customHeight="1" x14ac:dyDescent="0.3"/>
    <row r="493" s="29" customFormat="1" ht="15.75" customHeight="1" x14ac:dyDescent="0.3"/>
    <row r="494" s="29" customFormat="1" ht="15.75" customHeight="1" x14ac:dyDescent="0.3"/>
    <row r="495" s="29" customFormat="1" ht="15.75" customHeight="1" x14ac:dyDescent="0.3"/>
    <row r="496" s="29" customFormat="1" ht="15.75" customHeight="1" x14ac:dyDescent="0.3"/>
    <row r="497" s="29" customFormat="1" ht="15.75" customHeight="1" x14ac:dyDescent="0.3"/>
    <row r="498" s="29" customFormat="1" ht="15.75" customHeight="1" x14ac:dyDescent="0.3"/>
    <row r="499" s="29" customFormat="1" ht="15.75" customHeight="1" x14ac:dyDescent="0.3"/>
    <row r="500" s="29" customFormat="1" ht="15.75" customHeight="1" x14ac:dyDescent="0.3"/>
    <row r="501" s="29" customFormat="1" ht="15.75" customHeight="1" x14ac:dyDescent="0.3"/>
    <row r="502" s="29" customFormat="1" ht="15.75" customHeight="1" x14ac:dyDescent="0.3"/>
    <row r="503" s="29" customFormat="1" ht="15.75" customHeight="1" x14ac:dyDescent="0.3"/>
    <row r="504" s="29" customFormat="1" ht="15.75" customHeight="1" x14ac:dyDescent="0.3"/>
    <row r="505" s="29" customFormat="1" ht="15.75" customHeight="1" x14ac:dyDescent="0.3"/>
    <row r="506" s="29" customFormat="1" ht="15.75" customHeight="1" x14ac:dyDescent="0.3"/>
    <row r="507" s="29" customFormat="1" ht="15.75" customHeight="1" x14ac:dyDescent="0.3"/>
    <row r="508" s="29" customFormat="1" ht="15.75" customHeight="1" x14ac:dyDescent="0.3"/>
    <row r="509" s="29" customFormat="1" ht="15.75" customHeight="1" x14ac:dyDescent="0.3"/>
    <row r="510" s="29" customFormat="1" ht="15.75" customHeight="1" x14ac:dyDescent="0.3"/>
    <row r="511" s="29" customFormat="1" ht="15.75" customHeight="1" x14ac:dyDescent="0.3"/>
    <row r="512" s="29" customFormat="1" ht="15.75" customHeight="1" x14ac:dyDescent="0.3"/>
    <row r="513" s="29" customFormat="1" ht="15.75" customHeight="1" x14ac:dyDescent="0.3"/>
    <row r="514" s="29" customFormat="1" ht="15.75" customHeight="1" x14ac:dyDescent="0.3"/>
    <row r="515" s="29" customFormat="1" ht="15.75" customHeight="1" x14ac:dyDescent="0.3"/>
    <row r="516" s="29" customFormat="1" ht="15.75" customHeight="1" x14ac:dyDescent="0.3"/>
    <row r="517" s="29" customFormat="1" ht="15.75" customHeight="1" x14ac:dyDescent="0.3"/>
    <row r="518" s="29" customFormat="1" ht="15.75" customHeight="1" x14ac:dyDescent="0.3"/>
    <row r="519" s="29" customFormat="1" ht="15.75" customHeight="1" x14ac:dyDescent="0.3"/>
    <row r="520" s="29" customFormat="1" ht="15.75" customHeight="1" x14ac:dyDescent="0.3"/>
    <row r="521" s="29" customFormat="1" ht="15.75" customHeight="1" x14ac:dyDescent="0.3"/>
    <row r="522" s="29" customFormat="1" ht="15.75" customHeight="1" x14ac:dyDescent="0.3"/>
    <row r="523" s="29" customFormat="1" ht="15.75" customHeight="1" x14ac:dyDescent="0.3"/>
    <row r="524" s="29" customFormat="1" ht="15.75" customHeight="1" x14ac:dyDescent="0.3"/>
    <row r="525" s="29" customFormat="1" ht="15.75" customHeight="1" x14ac:dyDescent="0.3"/>
    <row r="526" s="29" customFormat="1" ht="15.75" customHeight="1" x14ac:dyDescent="0.3"/>
    <row r="527" s="29" customFormat="1" ht="15.75" customHeight="1" x14ac:dyDescent="0.3"/>
    <row r="528" s="29" customFormat="1" ht="15.75" customHeight="1" x14ac:dyDescent="0.3"/>
    <row r="529" s="29" customFormat="1" ht="15.75" customHeight="1" x14ac:dyDescent="0.3"/>
    <row r="530" s="29" customFormat="1" ht="15.75" customHeight="1" x14ac:dyDescent="0.3"/>
    <row r="531" s="29" customFormat="1" ht="15.75" customHeight="1" x14ac:dyDescent="0.3"/>
    <row r="532" s="29" customFormat="1" ht="15.75" customHeight="1" x14ac:dyDescent="0.3"/>
    <row r="533" s="29" customFormat="1" ht="15.75" customHeight="1" x14ac:dyDescent="0.3"/>
    <row r="534" s="29" customFormat="1" ht="15.75" customHeight="1" x14ac:dyDescent="0.3"/>
    <row r="535" s="29" customFormat="1" ht="15.75" customHeight="1" x14ac:dyDescent="0.3"/>
    <row r="536" s="29" customFormat="1" ht="15.75" customHeight="1" x14ac:dyDescent="0.3"/>
    <row r="537" s="29" customFormat="1" ht="15.75" customHeight="1" x14ac:dyDescent="0.3"/>
    <row r="538" s="29" customFormat="1" ht="15.75" customHeight="1" x14ac:dyDescent="0.3"/>
    <row r="539" s="29" customFormat="1" ht="15.75" customHeight="1" x14ac:dyDescent="0.3"/>
    <row r="540" s="29" customFormat="1" ht="15.75" customHeight="1" x14ac:dyDescent="0.3"/>
    <row r="541" s="29" customFormat="1" ht="15.75" customHeight="1" x14ac:dyDescent="0.3"/>
    <row r="542" s="29" customFormat="1" ht="15.75" customHeight="1" x14ac:dyDescent="0.3"/>
    <row r="543" s="29" customFormat="1" ht="15.75" customHeight="1" x14ac:dyDescent="0.3"/>
    <row r="544" s="29" customFormat="1" ht="15.75" customHeight="1" x14ac:dyDescent="0.3"/>
    <row r="545" s="29" customFormat="1" ht="15.75" customHeight="1" x14ac:dyDescent="0.3"/>
    <row r="546" s="29" customFormat="1" ht="15.75" customHeight="1" x14ac:dyDescent="0.3"/>
    <row r="547" s="29" customFormat="1" ht="15.75" customHeight="1" x14ac:dyDescent="0.3"/>
    <row r="548" s="29" customFormat="1" ht="15.75" customHeight="1" x14ac:dyDescent="0.3"/>
    <row r="549" s="29" customFormat="1" ht="15.75" customHeight="1" x14ac:dyDescent="0.3"/>
    <row r="550" s="29" customFormat="1" ht="15.75" customHeight="1" x14ac:dyDescent="0.3"/>
    <row r="551" s="29" customFormat="1" ht="15.75" customHeight="1" x14ac:dyDescent="0.3"/>
    <row r="552" s="29" customFormat="1" ht="15.75" customHeight="1" x14ac:dyDescent="0.3"/>
    <row r="553" s="29" customFormat="1" ht="15.75" customHeight="1" x14ac:dyDescent="0.3"/>
    <row r="554" s="29" customFormat="1" ht="15.75" customHeight="1" x14ac:dyDescent="0.3"/>
    <row r="555" s="29" customFormat="1" ht="15.75" customHeight="1" x14ac:dyDescent="0.3"/>
    <row r="556" s="29" customFormat="1" ht="15.75" customHeight="1" x14ac:dyDescent="0.3"/>
    <row r="557" s="29" customFormat="1" ht="15.75" customHeight="1" x14ac:dyDescent="0.3"/>
    <row r="558" s="29" customFormat="1" ht="15.75" customHeight="1" x14ac:dyDescent="0.3"/>
    <row r="559" s="29" customFormat="1" ht="15.75" customHeight="1" x14ac:dyDescent="0.3"/>
    <row r="560" s="29" customFormat="1" ht="15.75" customHeight="1" x14ac:dyDescent="0.3"/>
    <row r="561" s="29" customFormat="1" ht="15.75" customHeight="1" x14ac:dyDescent="0.3"/>
    <row r="562" s="29" customFormat="1" ht="15.75" customHeight="1" x14ac:dyDescent="0.3"/>
    <row r="563" s="29" customFormat="1" ht="15.75" customHeight="1" x14ac:dyDescent="0.3"/>
    <row r="564" s="29" customFormat="1" ht="15.75" customHeight="1" x14ac:dyDescent="0.3"/>
    <row r="565" s="29" customFormat="1" ht="15.75" customHeight="1" x14ac:dyDescent="0.3"/>
    <row r="566" s="29" customFormat="1" ht="15.75" customHeight="1" x14ac:dyDescent="0.3"/>
    <row r="567" s="29" customFormat="1" ht="15.75" customHeight="1" x14ac:dyDescent="0.3"/>
    <row r="568" s="29" customFormat="1" ht="15.75" customHeight="1" x14ac:dyDescent="0.3"/>
    <row r="569" s="29" customFormat="1" ht="15.75" customHeight="1" x14ac:dyDescent="0.3"/>
    <row r="570" s="29" customFormat="1" ht="15.75" customHeight="1" x14ac:dyDescent="0.3"/>
    <row r="571" s="29" customFormat="1" ht="15.75" customHeight="1" x14ac:dyDescent="0.3"/>
    <row r="572" s="29" customFormat="1" ht="15.75" customHeight="1" x14ac:dyDescent="0.3"/>
    <row r="573" s="29" customFormat="1" ht="15.75" customHeight="1" x14ac:dyDescent="0.3"/>
    <row r="574" s="29" customFormat="1" ht="15.75" customHeight="1" x14ac:dyDescent="0.3"/>
    <row r="575" s="29" customFormat="1" ht="15.75" customHeight="1" x14ac:dyDescent="0.3"/>
    <row r="576" s="29" customFormat="1" ht="15.75" customHeight="1" x14ac:dyDescent="0.3"/>
    <row r="577" s="29" customFormat="1" ht="15.75" customHeight="1" x14ac:dyDescent="0.3"/>
    <row r="578" s="29" customFormat="1" ht="15.75" customHeight="1" x14ac:dyDescent="0.3"/>
    <row r="579" s="29" customFormat="1" ht="15.75" customHeight="1" x14ac:dyDescent="0.3"/>
    <row r="580" s="29" customFormat="1" ht="15.75" customHeight="1" x14ac:dyDescent="0.3"/>
    <row r="581" s="29" customFormat="1" ht="15.75" customHeight="1" x14ac:dyDescent="0.3"/>
    <row r="582" s="29" customFormat="1" ht="15.75" customHeight="1" x14ac:dyDescent="0.3"/>
    <row r="583" s="29" customFormat="1" ht="15.75" customHeight="1" x14ac:dyDescent="0.3"/>
    <row r="584" s="29" customFormat="1" ht="15.75" customHeight="1" x14ac:dyDescent="0.3"/>
    <row r="585" s="29" customFormat="1" ht="15.75" customHeight="1" x14ac:dyDescent="0.3"/>
    <row r="586" s="29" customFormat="1" ht="15.75" customHeight="1" x14ac:dyDescent="0.3"/>
    <row r="587" s="29" customFormat="1" ht="15.75" customHeight="1" x14ac:dyDescent="0.3"/>
    <row r="588" s="29" customFormat="1" ht="15.75" customHeight="1" x14ac:dyDescent="0.3"/>
    <row r="589" s="29" customFormat="1" ht="15.75" customHeight="1" x14ac:dyDescent="0.3"/>
    <row r="590" s="29" customFormat="1" ht="15.75" customHeight="1" x14ac:dyDescent="0.3"/>
    <row r="591" s="29" customFormat="1" ht="15.75" customHeight="1" x14ac:dyDescent="0.3"/>
    <row r="592" s="29" customFormat="1" ht="15.75" customHeight="1" x14ac:dyDescent="0.3"/>
    <row r="593" s="29" customFormat="1" ht="15.75" customHeight="1" x14ac:dyDescent="0.3"/>
    <row r="594" s="29" customFormat="1" ht="15.75" customHeight="1" x14ac:dyDescent="0.3"/>
    <row r="595" s="29" customFormat="1" ht="15.75" customHeight="1" x14ac:dyDescent="0.3"/>
    <row r="596" s="29" customFormat="1" ht="15.75" customHeight="1" x14ac:dyDescent="0.3"/>
    <row r="597" s="29" customFormat="1" ht="15.75" customHeight="1" x14ac:dyDescent="0.3"/>
    <row r="598" s="29" customFormat="1" ht="15.75" customHeight="1" x14ac:dyDescent="0.3"/>
    <row r="599" s="29" customFormat="1" ht="15.75" customHeight="1" x14ac:dyDescent="0.3"/>
    <row r="600" s="29" customFormat="1" ht="15.75" customHeight="1" x14ac:dyDescent="0.3"/>
    <row r="601" s="29" customFormat="1" ht="15.75" customHeight="1" x14ac:dyDescent="0.3"/>
    <row r="602" s="29" customFormat="1" ht="15.75" customHeight="1" x14ac:dyDescent="0.3"/>
    <row r="603" s="29" customFormat="1" ht="15.75" customHeight="1" x14ac:dyDescent="0.3"/>
    <row r="604" s="29" customFormat="1" ht="15.75" customHeight="1" x14ac:dyDescent="0.3"/>
    <row r="605" s="29" customFormat="1" ht="15.75" customHeight="1" x14ac:dyDescent="0.3"/>
    <row r="606" s="29" customFormat="1" ht="15.75" customHeight="1" x14ac:dyDescent="0.3"/>
    <row r="607" s="29" customFormat="1" ht="15.75" customHeight="1" x14ac:dyDescent="0.3"/>
    <row r="608" s="29" customFormat="1" ht="15.75" customHeight="1" x14ac:dyDescent="0.3"/>
    <row r="609" s="29" customFormat="1" ht="15.75" customHeight="1" x14ac:dyDescent="0.3"/>
    <row r="610" s="29" customFormat="1" ht="15.75" customHeight="1" x14ac:dyDescent="0.3"/>
    <row r="611" s="29" customFormat="1" ht="15.75" customHeight="1" x14ac:dyDescent="0.3"/>
    <row r="612" s="29" customFormat="1" ht="15.75" customHeight="1" x14ac:dyDescent="0.3"/>
    <row r="613" s="29" customFormat="1" ht="15.75" customHeight="1" x14ac:dyDescent="0.3"/>
    <row r="614" s="29" customFormat="1" ht="15.75" customHeight="1" x14ac:dyDescent="0.3"/>
    <row r="615" s="29" customFormat="1" ht="15.75" customHeight="1" x14ac:dyDescent="0.3"/>
    <row r="616" s="29" customFormat="1" ht="15.75" customHeight="1" x14ac:dyDescent="0.3"/>
    <row r="617" s="29" customFormat="1" ht="15.75" customHeight="1" x14ac:dyDescent="0.3"/>
    <row r="618" s="29" customFormat="1" ht="15.75" customHeight="1" x14ac:dyDescent="0.3"/>
    <row r="619" s="29" customFormat="1" ht="15.75" customHeight="1" x14ac:dyDescent="0.3"/>
    <row r="620" s="29" customFormat="1" ht="15.75" customHeight="1" x14ac:dyDescent="0.3"/>
    <row r="621" s="29" customFormat="1" ht="15.75" customHeight="1" x14ac:dyDescent="0.3"/>
    <row r="622" s="29" customFormat="1" ht="15.75" customHeight="1" x14ac:dyDescent="0.3"/>
    <row r="623" s="29" customFormat="1" ht="15.75" customHeight="1" x14ac:dyDescent="0.3"/>
    <row r="624" s="29" customFormat="1" ht="15.75" customHeight="1" x14ac:dyDescent="0.3"/>
    <row r="625" s="29" customFormat="1" ht="15.75" customHeight="1" x14ac:dyDescent="0.3"/>
    <row r="626" s="29" customFormat="1" ht="15.75" customHeight="1" x14ac:dyDescent="0.3"/>
    <row r="627" s="29" customFormat="1" ht="15.75" customHeight="1" x14ac:dyDescent="0.3"/>
    <row r="628" s="29" customFormat="1" ht="15.75" customHeight="1" x14ac:dyDescent="0.3"/>
    <row r="629" s="29" customFormat="1" ht="15.75" customHeight="1" x14ac:dyDescent="0.3"/>
    <row r="630" s="29" customFormat="1" ht="15.75" customHeight="1" x14ac:dyDescent="0.3"/>
    <row r="631" s="29" customFormat="1" ht="15.75" customHeight="1" x14ac:dyDescent="0.3"/>
    <row r="632" s="29" customFormat="1" ht="15.75" customHeight="1" x14ac:dyDescent="0.3"/>
    <row r="633" s="29" customFormat="1" ht="15.75" customHeight="1" x14ac:dyDescent="0.3"/>
    <row r="634" s="29" customFormat="1" ht="15.75" customHeight="1" x14ac:dyDescent="0.3"/>
    <row r="635" s="29" customFormat="1" ht="15.75" customHeight="1" x14ac:dyDescent="0.3"/>
    <row r="636" s="29" customFormat="1" ht="15.75" customHeight="1" x14ac:dyDescent="0.3"/>
    <row r="637" s="29" customFormat="1" ht="15.75" customHeight="1" x14ac:dyDescent="0.3"/>
    <row r="638" s="29" customFormat="1" ht="15.75" customHeight="1" x14ac:dyDescent="0.3"/>
    <row r="639" s="29" customFormat="1" ht="15.75" customHeight="1" x14ac:dyDescent="0.3"/>
    <row r="640" s="29" customFormat="1" ht="15.75" customHeight="1" x14ac:dyDescent="0.3"/>
    <row r="641" s="29" customFormat="1" ht="15.75" customHeight="1" x14ac:dyDescent="0.3"/>
    <row r="642" s="29" customFormat="1" ht="15.75" customHeight="1" x14ac:dyDescent="0.3"/>
    <row r="643" s="29" customFormat="1" ht="15.75" customHeight="1" x14ac:dyDescent="0.3"/>
    <row r="644" s="29" customFormat="1" ht="15.75" customHeight="1" x14ac:dyDescent="0.3"/>
    <row r="645" s="29" customFormat="1" ht="15.75" customHeight="1" x14ac:dyDescent="0.3"/>
    <row r="646" s="29" customFormat="1" ht="15.75" customHeight="1" x14ac:dyDescent="0.3"/>
    <row r="647" s="29" customFormat="1" ht="15.75" customHeight="1" x14ac:dyDescent="0.3"/>
    <row r="648" s="29" customFormat="1" ht="15.75" customHeight="1" x14ac:dyDescent="0.3"/>
    <row r="649" s="29" customFormat="1" ht="15.75" customHeight="1" x14ac:dyDescent="0.3"/>
    <row r="650" s="29" customFormat="1" ht="15.75" customHeight="1" x14ac:dyDescent="0.3"/>
    <row r="651" s="29" customFormat="1" ht="15.75" customHeight="1" x14ac:dyDescent="0.3"/>
    <row r="652" s="29" customFormat="1" ht="15.75" customHeight="1" x14ac:dyDescent="0.3"/>
    <row r="653" s="29" customFormat="1" ht="15.75" customHeight="1" x14ac:dyDescent="0.3"/>
    <row r="654" s="29" customFormat="1" ht="15.75" customHeight="1" x14ac:dyDescent="0.3"/>
    <row r="655" s="29" customFormat="1" ht="15.75" customHeight="1" x14ac:dyDescent="0.3"/>
    <row r="656" s="29" customFormat="1" ht="15.75" customHeight="1" x14ac:dyDescent="0.3"/>
    <row r="657" s="29" customFormat="1" ht="15.75" customHeight="1" x14ac:dyDescent="0.3"/>
    <row r="658" s="29" customFormat="1" ht="15.75" customHeight="1" x14ac:dyDescent="0.3"/>
    <row r="659" s="29" customFormat="1" ht="15.75" customHeight="1" x14ac:dyDescent="0.3"/>
    <row r="660" s="29" customFormat="1" ht="15.75" customHeight="1" x14ac:dyDescent="0.3"/>
    <row r="661" s="29" customFormat="1" ht="15.75" customHeight="1" x14ac:dyDescent="0.3"/>
    <row r="662" s="29" customFormat="1" ht="15.75" customHeight="1" x14ac:dyDescent="0.3"/>
    <row r="663" s="29" customFormat="1" ht="15.75" customHeight="1" x14ac:dyDescent="0.3"/>
    <row r="664" s="29" customFormat="1" ht="15.75" customHeight="1" x14ac:dyDescent="0.3"/>
    <row r="665" s="29" customFormat="1" ht="15.75" customHeight="1" x14ac:dyDescent="0.3"/>
    <row r="666" s="29" customFormat="1" ht="15.75" customHeight="1" x14ac:dyDescent="0.3"/>
    <row r="667" s="29" customFormat="1" ht="15.75" customHeight="1" x14ac:dyDescent="0.3"/>
    <row r="668" s="29" customFormat="1" ht="15.75" customHeight="1" x14ac:dyDescent="0.3"/>
    <row r="669" s="29" customFormat="1" ht="15.75" customHeight="1" x14ac:dyDescent="0.3"/>
    <row r="670" s="29" customFormat="1" ht="15.75" customHeight="1" x14ac:dyDescent="0.3"/>
    <row r="671" s="29" customFormat="1" ht="15.75" customHeight="1" x14ac:dyDescent="0.3"/>
    <row r="672" s="29" customFormat="1" ht="15.75" customHeight="1" x14ac:dyDescent="0.3"/>
    <row r="673" s="29" customFormat="1" ht="15.75" customHeight="1" x14ac:dyDescent="0.3"/>
    <row r="674" s="29" customFormat="1" ht="15.75" customHeight="1" x14ac:dyDescent="0.3"/>
    <row r="675" s="29" customFormat="1" ht="15.75" customHeight="1" x14ac:dyDescent="0.3"/>
    <row r="676" s="29" customFormat="1" ht="15.75" customHeight="1" x14ac:dyDescent="0.3"/>
    <row r="677" s="29" customFormat="1" ht="15.75" customHeight="1" x14ac:dyDescent="0.3"/>
    <row r="678" s="29" customFormat="1" ht="15.75" customHeight="1" x14ac:dyDescent="0.3"/>
    <row r="679" s="29" customFormat="1" ht="15.75" customHeight="1" x14ac:dyDescent="0.3"/>
    <row r="680" s="29" customFormat="1" ht="15.75" customHeight="1" x14ac:dyDescent="0.3"/>
    <row r="681" s="29" customFormat="1" ht="15.75" customHeight="1" x14ac:dyDescent="0.3"/>
    <row r="682" s="29" customFormat="1" ht="15.75" customHeight="1" x14ac:dyDescent="0.3"/>
    <row r="683" s="29" customFormat="1" ht="15.75" customHeight="1" x14ac:dyDescent="0.3"/>
    <row r="684" s="29" customFormat="1" ht="15.75" customHeight="1" x14ac:dyDescent="0.3"/>
    <row r="685" s="29" customFormat="1" ht="15.75" customHeight="1" x14ac:dyDescent="0.3"/>
    <row r="686" s="29" customFormat="1" ht="15.75" customHeight="1" x14ac:dyDescent="0.3"/>
    <row r="687" s="29" customFormat="1" ht="15.75" customHeight="1" x14ac:dyDescent="0.3"/>
    <row r="688" s="29" customFormat="1" ht="15.75" customHeight="1" x14ac:dyDescent="0.3"/>
    <row r="689" s="29" customFormat="1" ht="15.75" customHeight="1" x14ac:dyDescent="0.3"/>
    <row r="690" s="29" customFormat="1" ht="15.75" customHeight="1" x14ac:dyDescent="0.3"/>
    <row r="691" s="29" customFormat="1" ht="15.75" customHeight="1" x14ac:dyDescent="0.3"/>
    <row r="692" s="29" customFormat="1" ht="15.75" customHeight="1" x14ac:dyDescent="0.3"/>
    <row r="693" s="29" customFormat="1" ht="15.75" customHeight="1" x14ac:dyDescent="0.3"/>
    <row r="694" s="29" customFormat="1" ht="15.75" customHeight="1" x14ac:dyDescent="0.3"/>
    <row r="695" s="29" customFormat="1" ht="15.75" customHeight="1" x14ac:dyDescent="0.3"/>
    <row r="696" s="29" customFormat="1" ht="15.75" customHeight="1" x14ac:dyDescent="0.3"/>
    <row r="697" s="29" customFormat="1" ht="15.75" customHeight="1" x14ac:dyDescent="0.3"/>
    <row r="698" s="29" customFormat="1" ht="15.75" customHeight="1" x14ac:dyDescent="0.3"/>
    <row r="699" s="29" customFormat="1" ht="15.75" customHeight="1" x14ac:dyDescent="0.3"/>
    <row r="700" s="29" customFormat="1" ht="15.75" customHeight="1" x14ac:dyDescent="0.3"/>
    <row r="701" s="29" customFormat="1" ht="15.75" customHeight="1" x14ac:dyDescent="0.3"/>
    <row r="702" s="29" customFormat="1" ht="15.75" customHeight="1" x14ac:dyDescent="0.3"/>
    <row r="703" s="29" customFormat="1" ht="15.75" customHeight="1" x14ac:dyDescent="0.3"/>
    <row r="704" s="29" customFormat="1" ht="15.75" customHeight="1" x14ac:dyDescent="0.3"/>
    <row r="705" s="29" customFormat="1" ht="15.75" customHeight="1" x14ac:dyDescent="0.3"/>
    <row r="706" s="29" customFormat="1" ht="15.75" customHeight="1" x14ac:dyDescent="0.3"/>
    <row r="707" s="29" customFormat="1" ht="15.75" customHeight="1" x14ac:dyDescent="0.3"/>
    <row r="708" s="29" customFormat="1" ht="15.75" customHeight="1" x14ac:dyDescent="0.3"/>
    <row r="709" s="29" customFormat="1" ht="15.75" customHeight="1" x14ac:dyDescent="0.3"/>
    <row r="710" s="29" customFormat="1" ht="15.75" customHeight="1" x14ac:dyDescent="0.3"/>
    <row r="711" s="29" customFormat="1" ht="15.75" customHeight="1" x14ac:dyDescent="0.3"/>
    <row r="712" s="29" customFormat="1" ht="15.75" customHeight="1" x14ac:dyDescent="0.3"/>
    <row r="713" s="29" customFormat="1" ht="15.75" customHeight="1" x14ac:dyDescent="0.3"/>
    <row r="714" s="29" customFormat="1" ht="15.75" customHeight="1" x14ac:dyDescent="0.3"/>
    <row r="715" s="29" customFormat="1" ht="15.75" customHeight="1" x14ac:dyDescent="0.3"/>
    <row r="716" s="29" customFormat="1" ht="15.75" customHeight="1" x14ac:dyDescent="0.3"/>
    <row r="717" s="29" customFormat="1" ht="15.75" customHeight="1" x14ac:dyDescent="0.3"/>
    <row r="718" s="29" customFormat="1" ht="15.75" customHeight="1" x14ac:dyDescent="0.3"/>
    <row r="719" s="29" customFormat="1" ht="15.75" customHeight="1" x14ac:dyDescent="0.3"/>
    <row r="720" s="29" customFormat="1" ht="15.75" customHeight="1" x14ac:dyDescent="0.3"/>
    <row r="721" s="29" customFormat="1" ht="15.75" customHeight="1" x14ac:dyDescent="0.3"/>
    <row r="722" s="29" customFormat="1" ht="15.75" customHeight="1" x14ac:dyDescent="0.3"/>
    <row r="723" s="29" customFormat="1" ht="15.75" customHeight="1" x14ac:dyDescent="0.3"/>
    <row r="724" s="29" customFormat="1" ht="15.75" customHeight="1" x14ac:dyDescent="0.3"/>
    <row r="725" s="29" customFormat="1" ht="15.75" customHeight="1" x14ac:dyDescent="0.3"/>
    <row r="726" s="29" customFormat="1" ht="15.75" customHeight="1" x14ac:dyDescent="0.3"/>
    <row r="727" s="29" customFormat="1" ht="15.75" customHeight="1" x14ac:dyDescent="0.3"/>
    <row r="728" s="29" customFormat="1" ht="15.75" customHeight="1" x14ac:dyDescent="0.3"/>
    <row r="729" s="29" customFormat="1" ht="15.75" customHeight="1" x14ac:dyDescent="0.3"/>
    <row r="730" s="29" customFormat="1" ht="15.75" customHeight="1" x14ac:dyDescent="0.3"/>
    <row r="731" s="29" customFormat="1" ht="15.75" customHeight="1" x14ac:dyDescent="0.3"/>
    <row r="732" s="29" customFormat="1" ht="15.75" customHeight="1" x14ac:dyDescent="0.3"/>
    <row r="733" s="29" customFormat="1" ht="15.75" customHeight="1" x14ac:dyDescent="0.3"/>
    <row r="734" s="29" customFormat="1" ht="15.75" customHeight="1" x14ac:dyDescent="0.3"/>
    <row r="735" s="29" customFormat="1" ht="15.75" customHeight="1" x14ac:dyDescent="0.3"/>
    <row r="736" s="29" customFormat="1" ht="15.75" customHeight="1" x14ac:dyDescent="0.3"/>
    <row r="737" s="29" customFormat="1" ht="15.75" customHeight="1" x14ac:dyDescent="0.3"/>
    <row r="738" s="29" customFormat="1" ht="15.75" customHeight="1" x14ac:dyDescent="0.3"/>
    <row r="739" s="29" customFormat="1" ht="15.75" customHeight="1" x14ac:dyDescent="0.3"/>
    <row r="740" s="29" customFormat="1" ht="15.75" customHeight="1" x14ac:dyDescent="0.3"/>
    <row r="741" s="29" customFormat="1" ht="15.75" customHeight="1" x14ac:dyDescent="0.3"/>
    <row r="742" s="29" customFormat="1" ht="15.75" customHeight="1" x14ac:dyDescent="0.3"/>
    <row r="743" s="29" customFormat="1" ht="15.75" customHeight="1" x14ac:dyDescent="0.3"/>
    <row r="744" s="29" customFormat="1" ht="15.75" customHeight="1" x14ac:dyDescent="0.3"/>
    <row r="745" s="29" customFormat="1" ht="15.75" customHeight="1" x14ac:dyDescent="0.3"/>
    <row r="746" s="29" customFormat="1" ht="15.75" customHeight="1" x14ac:dyDescent="0.3"/>
    <row r="747" s="29" customFormat="1" ht="15.75" customHeight="1" x14ac:dyDescent="0.3"/>
    <row r="748" s="29" customFormat="1" ht="15.75" customHeight="1" x14ac:dyDescent="0.3"/>
    <row r="749" s="29" customFormat="1" ht="15.75" customHeight="1" x14ac:dyDescent="0.3"/>
    <row r="750" s="29" customFormat="1" ht="15.75" customHeight="1" x14ac:dyDescent="0.3"/>
    <row r="751" s="29" customFormat="1" ht="15.75" customHeight="1" x14ac:dyDescent="0.3"/>
    <row r="752" s="29" customFormat="1" ht="15.75" customHeight="1" x14ac:dyDescent="0.3"/>
    <row r="753" s="29" customFormat="1" ht="15.75" customHeight="1" x14ac:dyDescent="0.3"/>
    <row r="754" s="29" customFormat="1" ht="15.75" customHeight="1" x14ac:dyDescent="0.3"/>
    <row r="755" s="29" customFormat="1" ht="15.75" customHeight="1" x14ac:dyDescent="0.3"/>
    <row r="756" s="29" customFormat="1" ht="15.75" customHeight="1" x14ac:dyDescent="0.3"/>
    <row r="757" s="29" customFormat="1" ht="15.75" customHeight="1" x14ac:dyDescent="0.3"/>
    <row r="758" s="29" customFormat="1" ht="15.75" customHeight="1" x14ac:dyDescent="0.3"/>
    <row r="759" s="29" customFormat="1" ht="15.75" customHeight="1" x14ac:dyDescent="0.3"/>
    <row r="760" s="29" customFormat="1" ht="15.75" customHeight="1" x14ac:dyDescent="0.3"/>
    <row r="761" s="29" customFormat="1" ht="15.75" customHeight="1" x14ac:dyDescent="0.3"/>
    <row r="762" s="29" customFormat="1" ht="15.75" customHeight="1" x14ac:dyDescent="0.3"/>
    <row r="763" s="29" customFormat="1" ht="15.75" customHeight="1" x14ac:dyDescent="0.3"/>
    <row r="764" s="29" customFormat="1" ht="15.75" customHeight="1" x14ac:dyDescent="0.3"/>
    <row r="765" s="29" customFormat="1" ht="15.75" customHeight="1" x14ac:dyDescent="0.3"/>
    <row r="766" s="29" customFormat="1" ht="15.75" customHeight="1" x14ac:dyDescent="0.3"/>
    <row r="767" s="29" customFormat="1" ht="15.75" customHeight="1" x14ac:dyDescent="0.3"/>
    <row r="768" s="29" customFormat="1" ht="15.75" customHeight="1" x14ac:dyDescent="0.3"/>
    <row r="769" s="29" customFormat="1" ht="15.75" customHeight="1" x14ac:dyDescent="0.3"/>
    <row r="770" s="29" customFormat="1" ht="15.75" customHeight="1" x14ac:dyDescent="0.3"/>
    <row r="771" s="29" customFormat="1" ht="15.75" customHeight="1" x14ac:dyDescent="0.3"/>
    <row r="772" s="29" customFormat="1" ht="15.75" customHeight="1" x14ac:dyDescent="0.3"/>
    <row r="773" s="29" customFormat="1" ht="15.75" customHeight="1" x14ac:dyDescent="0.3"/>
    <row r="774" s="29" customFormat="1" ht="15.75" customHeight="1" x14ac:dyDescent="0.3"/>
    <row r="775" s="29" customFormat="1" ht="15.75" customHeight="1" x14ac:dyDescent="0.3"/>
    <row r="776" s="29" customFormat="1" ht="15.75" customHeight="1" x14ac:dyDescent="0.3"/>
    <row r="777" s="29" customFormat="1" ht="15.75" customHeight="1" x14ac:dyDescent="0.3"/>
    <row r="778" s="29" customFormat="1" ht="15.75" customHeight="1" x14ac:dyDescent="0.3"/>
    <row r="779" s="29" customFormat="1" ht="15.75" customHeight="1" x14ac:dyDescent="0.3"/>
    <row r="780" s="29" customFormat="1" ht="15.75" customHeight="1" x14ac:dyDescent="0.3"/>
    <row r="781" s="29" customFormat="1" ht="15.75" customHeight="1" x14ac:dyDescent="0.3"/>
    <row r="782" s="29" customFormat="1" ht="15.75" customHeight="1" x14ac:dyDescent="0.3"/>
    <row r="783" s="29" customFormat="1" ht="15.75" customHeight="1" x14ac:dyDescent="0.3"/>
    <row r="784" s="29" customFormat="1" ht="15.75" customHeight="1" x14ac:dyDescent="0.3"/>
    <row r="785" s="29" customFormat="1" ht="15.75" customHeight="1" x14ac:dyDescent="0.3"/>
    <row r="786" s="29" customFormat="1" ht="15.75" customHeight="1" x14ac:dyDescent="0.3"/>
    <row r="787" s="29" customFormat="1" ht="15.75" customHeight="1" x14ac:dyDescent="0.3"/>
    <row r="788" s="29" customFormat="1" ht="15.75" customHeight="1" x14ac:dyDescent="0.3"/>
    <row r="789" s="29" customFormat="1" ht="15.75" customHeight="1" x14ac:dyDescent="0.3"/>
    <row r="790" s="29" customFormat="1" ht="15.75" customHeight="1" x14ac:dyDescent="0.3"/>
    <row r="791" s="29" customFormat="1" ht="15.75" customHeight="1" x14ac:dyDescent="0.3"/>
    <row r="792" s="29" customFormat="1" ht="15.75" customHeight="1" x14ac:dyDescent="0.3"/>
    <row r="793" s="29" customFormat="1" ht="15.75" customHeight="1" x14ac:dyDescent="0.3"/>
    <row r="794" s="29" customFormat="1" ht="15.75" customHeight="1" x14ac:dyDescent="0.3"/>
    <row r="795" s="29" customFormat="1" ht="15.75" customHeight="1" x14ac:dyDescent="0.3"/>
    <row r="796" s="29" customFormat="1" ht="15.75" customHeight="1" x14ac:dyDescent="0.3"/>
    <row r="797" s="29" customFormat="1" ht="15.75" customHeight="1" x14ac:dyDescent="0.3"/>
    <row r="798" s="29" customFormat="1" ht="15.75" customHeight="1" x14ac:dyDescent="0.3"/>
    <row r="799" s="29" customFormat="1" ht="15.75" customHeight="1" x14ac:dyDescent="0.3"/>
    <row r="800" s="29" customFormat="1" ht="15.75" customHeight="1" x14ac:dyDescent="0.3"/>
    <row r="801" s="29" customFormat="1" ht="15.75" customHeight="1" x14ac:dyDescent="0.3"/>
    <row r="802" s="29" customFormat="1" ht="15.75" customHeight="1" x14ac:dyDescent="0.3"/>
    <row r="803" s="29" customFormat="1" ht="15.75" customHeight="1" x14ac:dyDescent="0.3"/>
    <row r="804" s="29" customFormat="1" ht="15.75" customHeight="1" x14ac:dyDescent="0.3"/>
    <row r="805" s="29" customFormat="1" ht="15.75" customHeight="1" x14ac:dyDescent="0.3"/>
    <row r="806" s="29" customFormat="1" ht="15.75" customHeight="1" x14ac:dyDescent="0.3"/>
    <row r="807" s="29" customFormat="1" ht="15.75" customHeight="1" x14ac:dyDescent="0.3"/>
    <row r="808" s="29" customFormat="1" ht="15.75" customHeight="1" x14ac:dyDescent="0.3"/>
    <row r="809" s="29" customFormat="1" ht="15.75" customHeight="1" x14ac:dyDescent="0.3"/>
    <row r="810" s="29" customFormat="1" ht="15.75" customHeight="1" x14ac:dyDescent="0.3"/>
    <row r="811" s="29" customFormat="1" ht="15.75" customHeight="1" x14ac:dyDescent="0.3"/>
    <row r="812" s="29" customFormat="1" ht="15.75" customHeight="1" x14ac:dyDescent="0.3"/>
    <row r="813" s="29" customFormat="1" ht="15.75" customHeight="1" x14ac:dyDescent="0.3"/>
    <row r="814" s="29" customFormat="1" ht="15.75" customHeight="1" x14ac:dyDescent="0.3"/>
    <row r="815" s="29" customFormat="1" ht="15.75" customHeight="1" x14ac:dyDescent="0.3"/>
    <row r="816" s="29" customFormat="1" ht="15.75" customHeight="1" x14ac:dyDescent="0.3"/>
    <row r="817" s="29" customFormat="1" ht="15.75" customHeight="1" x14ac:dyDescent="0.3"/>
    <row r="818" s="29" customFormat="1" ht="15.75" customHeight="1" x14ac:dyDescent="0.3"/>
    <row r="819" s="29" customFormat="1" ht="15.75" customHeight="1" x14ac:dyDescent="0.3"/>
    <row r="820" s="29" customFormat="1" ht="15.75" customHeight="1" x14ac:dyDescent="0.3"/>
    <row r="821" s="29" customFormat="1" ht="15.75" customHeight="1" x14ac:dyDescent="0.3"/>
    <row r="822" s="29" customFormat="1" ht="15.75" customHeight="1" x14ac:dyDescent="0.3"/>
    <row r="823" s="29" customFormat="1" ht="15.75" customHeight="1" x14ac:dyDescent="0.3"/>
    <row r="824" s="29" customFormat="1" ht="15.75" customHeight="1" x14ac:dyDescent="0.3"/>
    <row r="825" s="29" customFormat="1" ht="15.75" customHeight="1" x14ac:dyDescent="0.3"/>
    <row r="826" s="29" customFormat="1" ht="15.75" customHeight="1" x14ac:dyDescent="0.3"/>
    <row r="827" s="29" customFormat="1" ht="15.75" customHeight="1" x14ac:dyDescent="0.3"/>
    <row r="828" s="29" customFormat="1" ht="15.75" customHeight="1" x14ac:dyDescent="0.3"/>
    <row r="829" s="29" customFormat="1" ht="15.75" customHeight="1" x14ac:dyDescent="0.3"/>
    <row r="830" s="29" customFormat="1" ht="15.75" customHeight="1" x14ac:dyDescent="0.3"/>
    <row r="831" s="29" customFormat="1" ht="15.75" customHeight="1" x14ac:dyDescent="0.3"/>
    <row r="832" s="29" customFormat="1" ht="15.75" customHeight="1" x14ac:dyDescent="0.3"/>
    <row r="833" s="29" customFormat="1" ht="15.75" customHeight="1" x14ac:dyDescent="0.3"/>
    <row r="834" s="29" customFormat="1" ht="15.75" customHeight="1" x14ac:dyDescent="0.3"/>
    <row r="835" s="29" customFormat="1" ht="15.75" customHeight="1" x14ac:dyDescent="0.3"/>
    <row r="836" s="29" customFormat="1" ht="15.75" customHeight="1" x14ac:dyDescent="0.3"/>
    <row r="837" s="29" customFormat="1" ht="15.75" customHeight="1" x14ac:dyDescent="0.3"/>
    <row r="838" s="29" customFormat="1" ht="15.75" customHeight="1" x14ac:dyDescent="0.3"/>
    <row r="839" s="29" customFormat="1" ht="15.75" customHeight="1" x14ac:dyDescent="0.3"/>
    <row r="840" s="29" customFormat="1" ht="15.75" customHeight="1" x14ac:dyDescent="0.3"/>
    <row r="841" s="29" customFormat="1" ht="15.75" customHeight="1" x14ac:dyDescent="0.3"/>
    <row r="842" s="29" customFormat="1" ht="15.75" customHeight="1" x14ac:dyDescent="0.3"/>
    <row r="843" s="29" customFormat="1" ht="15.75" customHeight="1" x14ac:dyDescent="0.3"/>
    <row r="844" s="29" customFormat="1" ht="15.75" customHeight="1" x14ac:dyDescent="0.3"/>
    <row r="845" s="29" customFormat="1" ht="15.75" customHeight="1" x14ac:dyDescent="0.3"/>
    <row r="846" s="29" customFormat="1" ht="15.75" customHeight="1" x14ac:dyDescent="0.3"/>
    <row r="847" s="29" customFormat="1" ht="15.75" customHeight="1" x14ac:dyDescent="0.3"/>
    <row r="848" s="29" customFormat="1" ht="15.75" customHeight="1" x14ac:dyDescent="0.3"/>
    <row r="849" s="29" customFormat="1" ht="15.75" customHeight="1" x14ac:dyDescent="0.3"/>
    <row r="850" s="29" customFormat="1" ht="15.75" customHeight="1" x14ac:dyDescent="0.3"/>
    <row r="851" s="29" customFormat="1" ht="15.75" customHeight="1" x14ac:dyDescent="0.3"/>
    <row r="852" s="29" customFormat="1" ht="15.75" customHeight="1" x14ac:dyDescent="0.3"/>
    <row r="853" s="29" customFormat="1" ht="15.75" customHeight="1" x14ac:dyDescent="0.3"/>
    <row r="854" s="29" customFormat="1" ht="15.75" customHeight="1" x14ac:dyDescent="0.3"/>
    <row r="855" s="29" customFormat="1" ht="15.75" customHeight="1" x14ac:dyDescent="0.3"/>
    <row r="856" s="29" customFormat="1" ht="15.75" customHeight="1" x14ac:dyDescent="0.3"/>
    <row r="857" s="29" customFormat="1" ht="15.75" customHeight="1" x14ac:dyDescent="0.3"/>
    <row r="858" s="29" customFormat="1" ht="15.75" customHeight="1" x14ac:dyDescent="0.3"/>
    <row r="859" s="29" customFormat="1" ht="15.75" customHeight="1" x14ac:dyDescent="0.3"/>
    <row r="860" s="29" customFormat="1" ht="15.75" customHeight="1" x14ac:dyDescent="0.3"/>
    <row r="861" s="29" customFormat="1" ht="15.75" customHeight="1" x14ac:dyDescent="0.3"/>
    <row r="862" s="29" customFormat="1" ht="15.75" customHeight="1" x14ac:dyDescent="0.3"/>
    <row r="863" s="29" customFormat="1" ht="15.75" customHeight="1" x14ac:dyDescent="0.3"/>
    <row r="864" s="29" customFormat="1" ht="15.75" customHeight="1" x14ac:dyDescent="0.3"/>
    <row r="865" s="29" customFormat="1" ht="15.75" customHeight="1" x14ac:dyDescent="0.3"/>
    <row r="866" s="29" customFormat="1" ht="15.75" customHeight="1" x14ac:dyDescent="0.3"/>
    <row r="867" s="29" customFormat="1" ht="15.75" customHeight="1" x14ac:dyDescent="0.3"/>
    <row r="868" s="29" customFormat="1" ht="15.75" customHeight="1" x14ac:dyDescent="0.3"/>
    <row r="869" s="29" customFormat="1" ht="15.75" customHeight="1" x14ac:dyDescent="0.3"/>
    <row r="870" s="29" customFormat="1" ht="15.75" customHeight="1" x14ac:dyDescent="0.3"/>
    <row r="871" s="29" customFormat="1" ht="15.75" customHeight="1" x14ac:dyDescent="0.3"/>
    <row r="872" s="29" customFormat="1" ht="15.75" customHeight="1" x14ac:dyDescent="0.3"/>
    <row r="873" s="29" customFormat="1" ht="15.75" customHeight="1" x14ac:dyDescent="0.3"/>
    <row r="874" s="29" customFormat="1" ht="15.75" customHeight="1" x14ac:dyDescent="0.3"/>
    <row r="875" s="29" customFormat="1" ht="15.75" customHeight="1" x14ac:dyDescent="0.3"/>
    <row r="876" s="29" customFormat="1" ht="15.75" customHeight="1" x14ac:dyDescent="0.3"/>
    <row r="877" s="29" customFormat="1" ht="15.75" customHeight="1" x14ac:dyDescent="0.3"/>
    <row r="878" s="29" customFormat="1" ht="15.75" customHeight="1" x14ac:dyDescent="0.3"/>
    <row r="879" s="29" customFormat="1" ht="15.75" customHeight="1" x14ac:dyDescent="0.3"/>
    <row r="880" s="29" customFormat="1" ht="15.75" customHeight="1" x14ac:dyDescent="0.3"/>
    <row r="881" s="29" customFormat="1" ht="15.75" customHeight="1" x14ac:dyDescent="0.3"/>
    <row r="882" s="29" customFormat="1" ht="15.75" customHeight="1" x14ac:dyDescent="0.3"/>
    <row r="883" s="29" customFormat="1" ht="15.75" customHeight="1" x14ac:dyDescent="0.3"/>
    <row r="884" s="29" customFormat="1" ht="15.75" customHeight="1" x14ac:dyDescent="0.3"/>
    <row r="885" s="29" customFormat="1" ht="15.75" customHeight="1" x14ac:dyDescent="0.3"/>
    <row r="886" s="29" customFormat="1" ht="15.75" customHeight="1" x14ac:dyDescent="0.3"/>
    <row r="887" s="29" customFormat="1" ht="15.75" customHeight="1" x14ac:dyDescent="0.3"/>
    <row r="888" s="29" customFormat="1" ht="15.75" customHeight="1" x14ac:dyDescent="0.3"/>
    <row r="889" s="29" customFormat="1" ht="15.75" customHeight="1" x14ac:dyDescent="0.3"/>
    <row r="890" s="29" customFormat="1" ht="15.75" customHeight="1" x14ac:dyDescent="0.3"/>
    <row r="891" s="29" customFormat="1" ht="15.75" customHeight="1" x14ac:dyDescent="0.3"/>
    <row r="892" s="29" customFormat="1" ht="15.75" customHeight="1" x14ac:dyDescent="0.3"/>
    <row r="893" s="29" customFormat="1" ht="15.75" customHeight="1" x14ac:dyDescent="0.3"/>
    <row r="894" s="29" customFormat="1" ht="15.75" customHeight="1" x14ac:dyDescent="0.3"/>
    <row r="895" s="29" customFormat="1" ht="15.75" customHeight="1" x14ac:dyDescent="0.3"/>
    <row r="896" s="29" customFormat="1" ht="15.75" customHeight="1" x14ac:dyDescent="0.3"/>
    <row r="897" s="29" customFormat="1" ht="15.75" customHeight="1" x14ac:dyDescent="0.3"/>
    <row r="898" s="29" customFormat="1" ht="15.75" customHeight="1" x14ac:dyDescent="0.3"/>
    <row r="899" s="29" customFormat="1" ht="15.75" customHeight="1" x14ac:dyDescent="0.3"/>
    <row r="900" s="29" customFormat="1" ht="15.75" customHeight="1" x14ac:dyDescent="0.3"/>
    <row r="901" s="29" customFormat="1" ht="15.75" customHeight="1" x14ac:dyDescent="0.3"/>
    <row r="902" s="29" customFormat="1" ht="15.75" customHeight="1" x14ac:dyDescent="0.3"/>
    <row r="903" s="29" customFormat="1" ht="15.75" customHeight="1" x14ac:dyDescent="0.3"/>
    <row r="904" s="29" customFormat="1" ht="15.75" customHeight="1" x14ac:dyDescent="0.3"/>
    <row r="905" s="29" customFormat="1" ht="15.75" customHeight="1" x14ac:dyDescent="0.3"/>
    <row r="906" s="29" customFormat="1" ht="15.75" customHeight="1" x14ac:dyDescent="0.3"/>
    <row r="907" s="29" customFormat="1" ht="15.75" customHeight="1" x14ac:dyDescent="0.3"/>
    <row r="908" s="29" customFormat="1" ht="15.75" customHeight="1" x14ac:dyDescent="0.3"/>
    <row r="909" s="29" customFormat="1" ht="15.75" customHeight="1" x14ac:dyDescent="0.3"/>
    <row r="910" s="29" customFormat="1" ht="15.75" customHeight="1" x14ac:dyDescent="0.3"/>
    <row r="911" s="29" customFormat="1" ht="15.75" customHeight="1" x14ac:dyDescent="0.3"/>
    <row r="912" s="29" customFormat="1" ht="15.75" customHeight="1" x14ac:dyDescent="0.3"/>
    <row r="913" s="29" customFormat="1" ht="15.75" customHeight="1" x14ac:dyDescent="0.3"/>
    <row r="914" s="29" customFormat="1" ht="15.75" customHeight="1" x14ac:dyDescent="0.3"/>
    <row r="915" s="29" customFormat="1" ht="15.75" customHeight="1" x14ac:dyDescent="0.3"/>
    <row r="916" s="29" customFormat="1" ht="15.75" customHeight="1" x14ac:dyDescent="0.3"/>
    <row r="917" s="29" customFormat="1" ht="15.75" customHeight="1" x14ac:dyDescent="0.3"/>
    <row r="918" s="29" customFormat="1" ht="15.75" customHeight="1" x14ac:dyDescent="0.3"/>
    <row r="919" s="29" customFormat="1" ht="15.75" customHeight="1" x14ac:dyDescent="0.3"/>
    <row r="920" s="29" customFormat="1" ht="15.75" customHeight="1" x14ac:dyDescent="0.3"/>
    <row r="921" s="29" customFormat="1" ht="15.75" customHeight="1" x14ac:dyDescent="0.3"/>
    <row r="922" s="29" customFormat="1" ht="15.75" customHeight="1" x14ac:dyDescent="0.3"/>
    <row r="923" s="29" customFormat="1" ht="15.75" customHeight="1" x14ac:dyDescent="0.3"/>
    <row r="924" s="29" customFormat="1" ht="15.75" customHeight="1" x14ac:dyDescent="0.3"/>
    <row r="925" s="29" customFormat="1" ht="15.75" customHeight="1" x14ac:dyDescent="0.3"/>
    <row r="926" s="29" customFormat="1" ht="15.75" customHeight="1" x14ac:dyDescent="0.3"/>
    <row r="927" s="29" customFormat="1" ht="15.75" customHeight="1" x14ac:dyDescent="0.3"/>
    <row r="928" s="29" customFormat="1" ht="15.75" customHeight="1" x14ac:dyDescent="0.3"/>
    <row r="929" s="29" customFormat="1" ht="15.75" customHeight="1" x14ac:dyDescent="0.3"/>
    <row r="930" s="29" customFormat="1" ht="15.75" customHeight="1" x14ac:dyDescent="0.3"/>
    <row r="931" s="29" customFormat="1" ht="15.75" customHeight="1" x14ac:dyDescent="0.3"/>
    <row r="932" s="29" customFormat="1" ht="15.75" customHeight="1" x14ac:dyDescent="0.3"/>
    <row r="933" s="29" customFormat="1" ht="15.75" customHeight="1" x14ac:dyDescent="0.3"/>
    <row r="934" s="29" customFormat="1" ht="15.75" customHeight="1" x14ac:dyDescent="0.3"/>
    <row r="935" s="29" customFormat="1" ht="15.75" customHeight="1" x14ac:dyDescent="0.3"/>
    <row r="936" s="29" customFormat="1" ht="15.75" customHeight="1" x14ac:dyDescent="0.3"/>
    <row r="937" s="29" customFormat="1" ht="15.75" customHeight="1" x14ac:dyDescent="0.3"/>
    <row r="938" s="29" customFormat="1" ht="15.75" customHeight="1" x14ac:dyDescent="0.3"/>
    <row r="939" s="29" customFormat="1" ht="15.75" customHeight="1" x14ac:dyDescent="0.3"/>
    <row r="940" s="29" customFormat="1" ht="15.75" customHeight="1" x14ac:dyDescent="0.3"/>
    <row r="941" s="29" customFormat="1" ht="15.75" customHeight="1" x14ac:dyDescent="0.3"/>
    <row r="942" s="29" customFormat="1" ht="15.75" customHeight="1" x14ac:dyDescent="0.3"/>
    <row r="943" s="29" customFormat="1" ht="15.75" customHeight="1" x14ac:dyDescent="0.3"/>
    <row r="944" s="29" customFormat="1" ht="15.75" customHeight="1" x14ac:dyDescent="0.3"/>
    <row r="945" s="29" customFormat="1" ht="15.75" customHeight="1" x14ac:dyDescent="0.3"/>
    <row r="946" s="29" customFormat="1" ht="15.75" customHeight="1" x14ac:dyDescent="0.3"/>
    <row r="947" s="29" customFormat="1" ht="15.75" customHeight="1" x14ac:dyDescent="0.3"/>
    <row r="948" s="29" customFormat="1" ht="15.75" customHeight="1" x14ac:dyDescent="0.3"/>
    <row r="949" s="29" customFormat="1" ht="15.75" customHeight="1" x14ac:dyDescent="0.3"/>
    <row r="950" s="29" customFormat="1" ht="15.75" customHeight="1" x14ac:dyDescent="0.3"/>
    <row r="951" s="29" customFormat="1" ht="15.75" customHeight="1" x14ac:dyDescent="0.3"/>
    <row r="952" s="29" customFormat="1" ht="15.75" customHeight="1" x14ac:dyDescent="0.3"/>
    <row r="953" s="29" customFormat="1" ht="15.75" customHeight="1" x14ac:dyDescent="0.3"/>
    <row r="954" s="29" customFormat="1" ht="15.75" customHeight="1" x14ac:dyDescent="0.3"/>
    <row r="955" s="29" customFormat="1" ht="15.75" customHeight="1" x14ac:dyDescent="0.3"/>
    <row r="956" s="29" customFormat="1" ht="15.75" customHeight="1" x14ac:dyDescent="0.3"/>
    <row r="957" s="29" customFormat="1" ht="15.75" customHeight="1" x14ac:dyDescent="0.3"/>
    <row r="958" s="29" customFormat="1" ht="15.75" customHeight="1" x14ac:dyDescent="0.3"/>
    <row r="959" s="29" customFormat="1" ht="15.75" customHeight="1" x14ac:dyDescent="0.3"/>
    <row r="960" s="29" customFormat="1" ht="15.75" customHeight="1" x14ac:dyDescent="0.3"/>
    <row r="961" s="29" customFormat="1" ht="15.75" customHeight="1" x14ac:dyDescent="0.3"/>
    <row r="962" s="29" customFormat="1" ht="15.75" customHeight="1" x14ac:dyDescent="0.3"/>
    <row r="963" s="29" customFormat="1" ht="15.75" customHeight="1" x14ac:dyDescent="0.3"/>
    <row r="964" s="29" customFormat="1" ht="15.75" customHeight="1" x14ac:dyDescent="0.3"/>
    <row r="965" s="29" customFormat="1" ht="15.75" customHeight="1" x14ac:dyDescent="0.3"/>
    <row r="966" s="29" customFormat="1" ht="15.75" customHeight="1" x14ac:dyDescent="0.3"/>
    <row r="967" s="29" customFormat="1" ht="15.75" customHeight="1" x14ac:dyDescent="0.3"/>
    <row r="968" s="29" customFormat="1" ht="15.75" customHeight="1" x14ac:dyDescent="0.3"/>
    <row r="969" s="29" customFormat="1" ht="15.75" customHeight="1" x14ac:dyDescent="0.3"/>
    <row r="970" s="29" customFormat="1" ht="15.75" customHeight="1" x14ac:dyDescent="0.3"/>
    <row r="971" s="29" customFormat="1" ht="15.75" customHeight="1" x14ac:dyDescent="0.3"/>
    <row r="972" s="29" customFormat="1" ht="15.75" customHeight="1" x14ac:dyDescent="0.3"/>
    <row r="973" s="29" customFormat="1" ht="15.75" customHeight="1" x14ac:dyDescent="0.3"/>
    <row r="974" s="29" customFormat="1" ht="15.75" customHeight="1" x14ac:dyDescent="0.3"/>
    <row r="975" s="29" customFormat="1" ht="15.75" customHeight="1" x14ac:dyDescent="0.3"/>
    <row r="976" s="29" customFormat="1" ht="15.75" customHeight="1" x14ac:dyDescent="0.3"/>
    <row r="977" s="29" customFormat="1" ht="15.75" customHeight="1" x14ac:dyDescent="0.3"/>
    <row r="978" s="29" customFormat="1" ht="15.75" customHeight="1" x14ac:dyDescent="0.3"/>
    <row r="979" s="29" customFormat="1" ht="15.75" customHeight="1" x14ac:dyDescent="0.3"/>
    <row r="980" s="29" customFormat="1" ht="15.75" customHeight="1" x14ac:dyDescent="0.3"/>
    <row r="981" s="29" customFormat="1" ht="15.75" customHeight="1" x14ac:dyDescent="0.3"/>
    <row r="982" s="29" customFormat="1" ht="15.75" customHeight="1" x14ac:dyDescent="0.3"/>
    <row r="983" s="29" customFormat="1" ht="15.75" customHeight="1" x14ac:dyDescent="0.3"/>
    <row r="984" s="29" customFormat="1" ht="15.75" customHeight="1" x14ac:dyDescent="0.3"/>
    <row r="985" s="29" customFormat="1" ht="15.75" customHeight="1" x14ac:dyDescent="0.3"/>
    <row r="986" s="29" customFormat="1" ht="15.75" customHeight="1" x14ac:dyDescent="0.3"/>
    <row r="987" s="29" customFormat="1" ht="15.75" customHeight="1" x14ac:dyDescent="0.3"/>
    <row r="988" s="29" customFormat="1" ht="15.75" customHeight="1" x14ac:dyDescent="0.3"/>
    <row r="989" s="29" customFormat="1" ht="15.75" customHeight="1" x14ac:dyDescent="0.3"/>
    <row r="990" s="29" customFormat="1" ht="15.75" customHeight="1" x14ac:dyDescent="0.3"/>
    <row r="991" s="29" customFormat="1" ht="15.75" customHeight="1" x14ac:dyDescent="0.3"/>
    <row r="992" s="29" customFormat="1" ht="15.75" customHeight="1" x14ac:dyDescent="0.3"/>
    <row r="993" s="29" customFormat="1" ht="15.75" customHeight="1" x14ac:dyDescent="0.3"/>
    <row r="994" s="29" customFormat="1" ht="15.75" customHeight="1" x14ac:dyDescent="0.3"/>
    <row r="995" s="29" customFormat="1" ht="15.75" customHeight="1" x14ac:dyDescent="0.3"/>
    <row r="996" s="29" customFormat="1" ht="15.75" customHeight="1" x14ac:dyDescent="0.3"/>
    <row r="997" s="29" customFormat="1" ht="15.75" customHeight="1" x14ac:dyDescent="0.3"/>
    <row r="998" s="29" customFormat="1" ht="15.75" customHeight="1" x14ac:dyDescent="0.3"/>
    <row r="999" s="29" customFormat="1" ht="15.75" customHeight="1" x14ac:dyDescent="0.3"/>
    <row r="1000" s="29" customFormat="1" ht="15.75" customHeight="1" x14ac:dyDescent="0.3"/>
  </sheetData>
  <pageMargins left="0.78740157499999996" right="0.78740157499999996" top="0.984251969" bottom="0.984251969"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zoomScale="160" zoomScaleNormal="160" workbookViewId="0">
      <pane xSplit="1" ySplit="4" topLeftCell="J18" activePane="bottomRight" state="frozen"/>
      <selection pane="topRight" activeCell="B1" sqref="B1"/>
      <selection pane="bottomLeft" activeCell="A5" sqref="A5"/>
      <selection pane="bottomRight" activeCell="D28" sqref="D28:O28"/>
    </sheetView>
  </sheetViews>
  <sheetFormatPr defaultColWidth="12.6640625" defaultRowHeight="15" customHeight="1" x14ac:dyDescent="0.3"/>
  <cols>
    <col min="1" max="1" width="27.88671875" style="29" customWidth="1"/>
    <col min="2" max="2" width="11" style="29" customWidth="1"/>
    <col min="3" max="3" width="11.109375" style="29" customWidth="1"/>
    <col min="4" max="15" width="11" style="29" customWidth="1"/>
    <col min="16" max="16" width="15.33203125" style="29" customWidth="1"/>
    <col min="17" max="26" width="9.109375" style="29" customWidth="1"/>
    <col min="27" max="16384" width="12.6640625" style="29"/>
  </cols>
  <sheetData>
    <row r="1" spans="1:26" ht="39" customHeight="1" x14ac:dyDescent="0.35">
      <c r="A1" s="48" t="s">
        <v>19</v>
      </c>
      <c r="B1" s="63"/>
      <c r="C1" s="63"/>
      <c r="D1" s="63"/>
      <c r="E1" s="63"/>
      <c r="F1" s="63"/>
      <c r="G1" s="63"/>
      <c r="H1" s="63"/>
      <c r="I1" s="63"/>
      <c r="J1" s="63"/>
      <c r="K1" s="63"/>
      <c r="L1" s="63"/>
      <c r="M1" s="63"/>
      <c r="N1" s="63"/>
      <c r="O1" s="63"/>
      <c r="P1" s="47"/>
      <c r="Q1" s="64"/>
      <c r="R1" s="64"/>
      <c r="S1" s="64"/>
      <c r="T1" s="64"/>
      <c r="U1" s="64"/>
      <c r="V1" s="64"/>
      <c r="W1" s="64"/>
      <c r="X1" s="64"/>
      <c r="Y1" s="64"/>
      <c r="Z1" s="64"/>
    </row>
    <row r="2" spans="1:26" ht="10.5" customHeight="1" x14ac:dyDescent="0.3">
      <c r="A2" s="64"/>
      <c r="B2" s="63"/>
      <c r="C2" s="63"/>
      <c r="D2" s="63"/>
      <c r="E2" s="63"/>
      <c r="F2" s="63"/>
      <c r="G2" s="63"/>
      <c r="H2" s="63"/>
      <c r="I2" s="63"/>
      <c r="J2" s="63"/>
      <c r="K2" s="63"/>
      <c r="L2" s="63"/>
      <c r="M2" s="63"/>
      <c r="N2" s="63"/>
      <c r="O2" s="63"/>
      <c r="P2" s="47"/>
      <c r="Q2" s="64"/>
      <c r="R2" s="64"/>
      <c r="S2" s="64"/>
      <c r="T2" s="64"/>
      <c r="U2" s="64"/>
      <c r="V2" s="64"/>
      <c r="W2" s="64"/>
      <c r="X2" s="64"/>
      <c r="Y2" s="64"/>
      <c r="Z2" s="64"/>
    </row>
    <row r="3" spans="1:26" ht="10.5" customHeight="1" x14ac:dyDescent="0.3">
      <c r="A3" s="64"/>
      <c r="B3" s="63"/>
      <c r="C3" s="63"/>
      <c r="D3" s="63"/>
      <c r="E3" s="63"/>
      <c r="F3" s="63"/>
      <c r="G3" s="63"/>
      <c r="H3" s="63"/>
      <c r="I3" s="63"/>
      <c r="J3" s="63"/>
      <c r="K3" s="63"/>
      <c r="L3" s="63"/>
      <c r="M3" s="63"/>
      <c r="N3" s="63"/>
      <c r="O3" s="63"/>
      <c r="P3" s="47"/>
      <c r="Q3" s="64"/>
      <c r="R3" s="64"/>
      <c r="S3" s="64"/>
      <c r="T3" s="64"/>
      <c r="U3" s="64"/>
      <c r="V3" s="64"/>
      <c r="W3" s="64"/>
      <c r="X3" s="64"/>
      <c r="Y3" s="64"/>
      <c r="Z3" s="64"/>
    </row>
    <row r="4" spans="1:26" ht="10.5" customHeight="1" x14ac:dyDescent="0.3">
      <c r="A4" s="65" t="s">
        <v>13</v>
      </c>
      <c r="B4" s="65">
        <v>0</v>
      </c>
      <c r="C4" s="65"/>
      <c r="D4" s="65">
        <v>1</v>
      </c>
      <c r="E4" s="65">
        <v>2</v>
      </c>
      <c r="F4" s="65">
        <v>3</v>
      </c>
      <c r="G4" s="65">
        <v>4</v>
      </c>
      <c r="H4" s="65">
        <v>5</v>
      </c>
      <c r="I4" s="65">
        <v>6</v>
      </c>
      <c r="J4" s="65">
        <v>7</v>
      </c>
      <c r="K4" s="65">
        <v>8</v>
      </c>
      <c r="L4" s="65">
        <v>9</v>
      </c>
      <c r="M4" s="65">
        <v>10</v>
      </c>
      <c r="N4" s="65">
        <v>11</v>
      </c>
      <c r="O4" s="65">
        <v>12</v>
      </c>
      <c r="P4" s="66" t="s">
        <v>20</v>
      </c>
      <c r="Q4" s="67"/>
      <c r="R4" s="67"/>
      <c r="S4" s="67"/>
      <c r="T4" s="67"/>
      <c r="U4" s="67"/>
      <c r="V4" s="67"/>
      <c r="W4" s="67"/>
      <c r="X4" s="67"/>
      <c r="Y4" s="67"/>
      <c r="Z4" s="67"/>
    </row>
    <row r="5" spans="1:26" ht="10.5" customHeight="1" x14ac:dyDescent="0.3">
      <c r="A5" s="68" t="s">
        <v>21</v>
      </c>
      <c r="B5" s="41">
        <f>B8</f>
        <v>140000</v>
      </c>
      <c r="C5" s="41"/>
      <c r="D5" s="41">
        <f t="shared" ref="D5:O5" si="0">D19</f>
        <v>58200</v>
      </c>
      <c r="E5" s="41">
        <f t="shared" si="0"/>
        <v>58200</v>
      </c>
      <c r="F5" s="41">
        <f t="shared" si="0"/>
        <v>58200</v>
      </c>
      <c r="G5" s="41">
        <f t="shared" si="0"/>
        <v>56800</v>
      </c>
      <c r="H5" s="41">
        <f t="shared" si="0"/>
        <v>56800</v>
      </c>
      <c r="I5" s="41">
        <f t="shared" si="0"/>
        <v>56800</v>
      </c>
      <c r="J5" s="41">
        <f t="shared" si="0"/>
        <v>56800</v>
      </c>
      <c r="K5" s="41">
        <f t="shared" si="0"/>
        <v>56800</v>
      </c>
      <c r="L5" s="41">
        <f t="shared" si="0"/>
        <v>56800</v>
      </c>
      <c r="M5" s="41">
        <f t="shared" si="0"/>
        <v>56800</v>
      </c>
      <c r="N5" s="41">
        <f t="shared" si="0"/>
        <v>56800</v>
      </c>
      <c r="O5" s="41">
        <f t="shared" si="0"/>
        <v>56800</v>
      </c>
      <c r="P5" s="42">
        <f>SUM(D5:O5)</f>
        <v>685800</v>
      </c>
      <c r="Q5" s="64"/>
      <c r="R5" s="64"/>
      <c r="S5" s="64"/>
      <c r="T5" s="64"/>
      <c r="U5" s="64"/>
      <c r="V5" s="64"/>
      <c r="W5" s="64"/>
      <c r="X5" s="64"/>
      <c r="Y5" s="64"/>
      <c r="Z5" s="64"/>
    </row>
    <row r="6" spans="1:26" ht="10.5" customHeight="1" x14ac:dyDescent="0.3">
      <c r="A6" s="64"/>
      <c r="B6" s="63"/>
      <c r="C6" s="63"/>
      <c r="D6" s="63"/>
      <c r="E6" s="63"/>
      <c r="F6" s="63"/>
      <c r="G6" s="63"/>
      <c r="H6" s="63"/>
      <c r="I6" s="63"/>
      <c r="J6" s="63"/>
      <c r="K6" s="63"/>
      <c r="L6" s="63"/>
      <c r="M6" s="63"/>
      <c r="N6" s="63"/>
      <c r="O6" s="63"/>
      <c r="P6" s="47"/>
      <c r="Q6" s="64"/>
      <c r="R6" s="64"/>
      <c r="S6" s="64"/>
      <c r="T6" s="64"/>
      <c r="U6" s="64"/>
      <c r="V6" s="64"/>
      <c r="W6" s="64"/>
      <c r="X6" s="64"/>
      <c r="Y6" s="64"/>
      <c r="Z6" s="64"/>
    </row>
    <row r="7" spans="1:26" ht="10.5" customHeight="1" x14ac:dyDescent="0.3">
      <c r="A7" s="64"/>
      <c r="B7" s="63"/>
      <c r="C7" s="65" t="s">
        <v>22</v>
      </c>
      <c r="D7" s="63"/>
      <c r="E7" s="63"/>
      <c r="F7" s="63"/>
      <c r="G7" s="63"/>
      <c r="H7" s="63"/>
      <c r="I7" s="63"/>
      <c r="J7" s="63"/>
      <c r="K7" s="63"/>
      <c r="L7" s="63"/>
      <c r="M7" s="63"/>
      <c r="N7" s="63"/>
      <c r="O7" s="63"/>
      <c r="P7" s="47"/>
      <c r="Q7" s="64"/>
      <c r="R7" s="64"/>
      <c r="S7" s="64"/>
      <c r="T7" s="64"/>
      <c r="U7" s="64"/>
      <c r="V7" s="64"/>
      <c r="W7" s="64"/>
      <c r="X7" s="64"/>
      <c r="Y7" s="64"/>
      <c r="Z7" s="64"/>
    </row>
    <row r="8" spans="1:26" ht="10.5" customHeight="1" x14ac:dyDescent="0.3">
      <c r="A8" s="69" t="s">
        <v>23</v>
      </c>
      <c r="B8" s="44">
        <f>SUM(B9:B17)</f>
        <v>140000</v>
      </c>
      <c r="C8" s="63"/>
      <c r="D8" s="63"/>
      <c r="E8" s="63"/>
      <c r="F8" s="63"/>
      <c r="G8" s="63"/>
      <c r="H8" s="63"/>
      <c r="I8" s="63"/>
      <c r="J8" s="63"/>
      <c r="K8" s="63"/>
      <c r="L8" s="63"/>
      <c r="M8" s="63"/>
      <c r="N8" s="63"/>
      <c r="O8" s="63"/>
      <c r="P8" s="47"/>
      <c r="Q8" s="64"/>
      <c r="R8" s="64"/>
      <c r="S8" s="64"/>
      <c r="T8" s="64"/>
      <c r="U8" s="64"/>
      <c r="V8" s="64"/>
      <c r="W8" s="64"/>
      <c r="X8" s="64"/>
      <c r="Y8" s="64"/>
      <c r="Z8" s="64"/>
    </row>
    <row r="9" spans="1:26" ht="10.5" customHeight="1" x14ac:dyDescent="0.3">
      <c r="A9" s="64" t="s">
        <v>24</v>
      </c>
      <c r="B9" s="46">
        <v>5000</v>
      </c>
      <c r="C9" s="63"/>
      <c r="D9" s="63"/>
      <c r="E9" s="63"/>
      <c r="F9" s="63"/>
      <c r="G9" s="63"/>
      <c r="H9" s="63"/>
      <c r="I9" s="63"/>
      <c r="J9" s="63"/>
      <c r="K9" s="63"/>
      <c r="L9" s="63"/>
      <c r="M9" s="63"/>
      <c r="N9" s="63"/>
      <c r="O9" s="63"/>
      <c r="P9" s="47"/>
      <c r="Q9" s="64"/>
      <c r="R9" s="64"/>
      <c r="S9" s="64"/>
      <c r="T9" s="64"/>
      <c r="U9" s="64"/>
      <c r="V9" s="64"/>
      <c r="W9" s="64"/>
      <c r="X9" s="64"/>
      <c r="Y9" s="64"/>
      <c r="Z9" s="64"/>
    </row>
    <row r="10" spans="1:26" ht="10.5" customHeight="1" x14ac:dyDescent="0.3">
      <c r="A10" s="64" t="s">
        <v>25</v>
      </c>
      <c r="B10" s="46">
        <v>10000</v>
      </c>
      <c r="C10" s="63">
        <f>B10*0.2</f>
        <v>2000</v>
      </c>
      <c r="D10" s="63"/>
      <c r="E10" s="63"/>
      <c r="F10" s="63"/>
      <c r="G10" s="63"/>
      <c r="H10" s="63"/>
      <c r="I10" s="63"/>
      <c r="J10" s="63"/>
      <c r="K10" s="63"/>
      <c r="L10" s="63"/>
      <c r="M10" s="63"/>
      <c r="N10" s="63"/>
      <c r="O10" s="63"/>
      <c r="P10" s="47"/>
      <c r="Q10" s="64"/>
      <c r="R10" s="64"/>
      <c r="S10" s="64"/>
      <c r="T10" s="64"/>
      <c r="U10" s="64"/>
      <c r="V10" s="64"/>
      <c r="W10" s="64"/>
      <c r="X10" s="64"/>
      <c r="Y10" s="64"/>
      <c r="Z10" s="64"/>
    </row>
    <row r="11" spans="1:26" ht="10.5" customHeight="1" x14ac:dyDescent="0.3">
      <c r="A11" s="64" t="s">
        <v>26</v>
      </c>
      <c r="B11" s="46">
        <v>15000</v>
      </c>
      <c r="C11" s="63">
        <f>B11*0.1</f>
        <v>1500</v>
      </c>
      <c r="D11" s="63"/>
      <c r="E11" s="63"/>
      <c r="F11" s="63"/>
      <c r="G11" s="63"/>
      <c r="H11" s="63"/>
      <c r="I11" s="63"/>
      <c r="J11" s="63"/>
      <c r="K11" s="63"/>
      <c r="L11" s="63"/>
      <c r="M11" s="63"/>
      <c r="N11" s="63"/>
      <c r="O11" s="63"/>
      <c r="P11" s="47"/>
      <c r="Q11" s="64"/>
      <c r="R11" s="64"/>
      <c r="S11" s="64"/>
      <c r="T11" s="64"/>
      <c r="U11" s="64"/>
      <c r="V11" s="64"/>
      <c r="W11" s="64"/>
      <c r="X11" s="64"/>
      <c r="Y11" s="64"/>
      <c r="Z11" s="64"/>
    </row>
    <row r="12" spans="1:26" ht="10.5" customHeight="1" x14ac:dyDescent="0.3">
      <c r="A12" s="64" t="s">
        <v>27</v>
      </c>
      <c r="B12" s="46">
        <v>20000</v>
      </c>
      <c r="C12" s="63">
        <f>B12*0.2</f>
        <v>4000</v>
      </c>
      <c r="D12" s="63"/>
      <c r="E12" s="63"/>
      <c r="F12" s="63"/>
      <c r="G12" s="63"/>
      <c r="H12" s="63"/>
      <c r="I12" s="63"/>
      <c r="J12" s="63"/>
      <c r="K12" s="63"/>
      <c r="L12" s="63"/>
      <c r="M12" s="63"/>
      <c r="N12" s="63"/>
      <c r="O12" s="63"/>
      <c r="P12" s="47"/>
      <c r="Q12" s="64"/>
      <c r="R12" s="64"/>
      <c r="S12" s="64"/>
      <c r="T12" s="64"/>
      <c r="U12" s="64"/>
      <c r="V12" s="64"/>
      <c r="W12" s="64"/>
      <c r="X12" s="64"/>
      <c r="Y12" s="64"/>
      <c r="Z12" s="64"/>
    </row>
    <row r="13" spans="1:26" ht="10.5" customHeight="1" x14ac:dyDescent="0.3">
      <c r="A13" s="64" t="s">
        <v>28</v>
      </c>
      <c r="B13" s="46">
        <v>25000</v>
      </c>
      <c r="C13" s="63"/>
      <c r="D13" s="63"/>
      <c r="E13" s="63"/>
      <c r="F13" s="63"/>
      <c r="G13" s="63"/>
      <c r="H13" s="63"/>
      <c r="I13" s="63"/>
      <c r="J13" s="63"/>
      <c r="K13" s="63"/>
      <c r="L13" s="63"/>
      <c r="M13" s="63"/>
      <c r="N13" s="63"/>
      <c r="O13" s="63"/>
      <c r="P13" s="47"/>
      <c r="Q13" s="64"/>
      <c r="R13" s="64"/>
      <c r="S13" s="64"/>
      <c r="T13" s="64"/>
      <c r="U13" s="64"/>
      <c r="V13" s="64"/>
      <c r="W13" s="64"/>
      <c r="X13" s="64"/>
      <c r="Y13" s="64"/>
      <c r="Z13" s="64"/>
    </row>
    <row r="14" spans="1:26" ht="10.5" customHeight="1" x14ac:dyDescent="0.3">
      <c r="A14" s="64" t="s">
        <v>29</v>
      </c>
      <c r="B14" s="46">
        <v>30000</v>
      </c>
      <c r="C14" s="63"/>
      <c r="D14" s="64"/>
      <c r="E14" s="63"/>
      <c r="F14" s="63"/>
      <c r="G14" s="63"/>
      <c r="H14" s="63"/>
      <c r="I14" s="63"/>
      <c r="J14" s="63"/>
      <c r="K14" s="63"/>
      <c r="L14" s="63"/>
      <c r="M14" s="63"/>
      <c r="N14" s="63"/>
      <c r="O14" s="63"/>
      <c r="P14" s="47"/>
      <c r="Q14" s="64"/>
      <c r="R14" s="64"/>
      <c r="S14" s="64"/>
      <c r="T14" s="64"/>
      <c r="U14" s="64"/>
      <c r="V14" s="64"/>
      <c r="W14" s="64"/>
      <c r="X14" s="64"/>
      <c r="Y14" s="64"/>
      <c r="Z14" s="64"/>
    </row>
    <row r="15" spans="1:26" ht="10.5" customHeight="1" x14ac:dyDescent="0.3">
      <c r="A15" s="64" t="s">
        <v>30</v>
      </c>
      <c r="B15" s="46">
        <v>35000</v>
      </c>
      <c r="C15" s="63"/>
      <c r="D15" s="64"/>
      <c r="E15" s="63"/>
      <c r="F15" s="63"/>
      <c r="G15" s="63"/>
      <c r="H15" s="63"/>
      <c r="I15" s="63"/>
      <c r="J15" s="63"/>
      <c r="K15" s="63"/>
      <c r="L15" s="63"/>
      <c r="M15" s="63"/>
      <c r="N15" s="63"/>
      <c r="O15" s="63"/>
      <c r="P15" s="47"/>
      <c r="Q15" s="64"/>
      <c r="R15" s="64"/>
      <c r="S15" s="64"/>
      <c r="T15" s="64"/>
      <c r="U15" s="64"/>
      <c r="V15" s="64"/>
      <c r="W15" s="64"/>
      <c r="X15" s="64"/>
      <c r="Y15" s="64"/>
      <c r="Z15" s="64"/>
    </row>
    <row r="16" spans="1:26" ht="10.5" customHeight="1" x14ac:dyDescent="0.3">
      <c r="A16" s="64"/>
      <c r="B16" s="46"/>
      <c r="C16" s="63"/>
      <c r="D16" s="64"/>
      <c r="E16" s="63"/>
      <c r="F16" s="63"/>
      <c r="G16" s="63"/>
      <c r="H16" s="63"/>
      <c r="I16" s="63"/>
      <c r="J16" s="63"/>
      <c r="K16" s="63"/>
      <c r="L16" s="63"/>
      <c r="M16" s="63"/>
      <c r="N16" s="63"/>
      <c r="O16" s="63"/>
      <c r="P16" s="47"/>
      <c r="Q16" s="64"/>
      <c r="R16" s="64"/>
      <c r="S16" s="64"/>
      <c r="T16" s="64"/>
      <c r="U16" s="64"/>
      <c r="V16" s="64"/>
      <c r="W16" s="64"/>
      <c r="X16" s="64"/>
      <c r="Y16" s="64"/>
      <c r="Z16" s="64"/>
    </row>
    <row r="17" spans="1:26" ht="10.5" customHeight="1" x14ac:dyDescent="0.3">
      <c r="A17" s="64"/>
      <c r="B17" s="46"/>
      <c r="C17" s="63"/>
      <c r="D17" s="64"/>
      <c r="E17" s="63"/>
      <c r="F17" s="63"/>
      <c r="G17" s="63"/>
      <c r="H17" s="63"/>
      <c r="I17" s="63"/>
      <c r="J17" s="63"/>
      <c r="K17" s="63"/>
      <c r="L17" s="63"/>
      <c r="M17" s="63"/>
      <c r="N17" s="63"/>
      <c r="O17" s="63"/>
      <c r="P17" s="47"/>
      <c r="Q17" s="64"/>
      <c r="R17" s="64"/>
      <c r="S17" s="64"/>
      <c r="T17" s="64"/>
      <c r="U17" s="64"/>
      <c r="V17" s="64"/>
      <c r="W17" s="64"/>
      <c r="X17" s="64"/>
      <c r="Y17" s="64"/>
      <c r="Z17" s="64"/>
    </row>
    <row r="18" spans="1:26" ht="10.5" customHeight="1" x14ac:dyDescent="0.3">
      <c r="A18" s="64"/>
      <c r="B18" s="63"/>
      <c r="C18" s="63"/>
      <c r="D18" s="63"/>
      <c r="E18" s="63"/>
      <c r="F18" s="63"/>
      <c r="G18" s="63"/>
      <c r="H18" s="63"/>
      <c r="I18" s="63"/>
      <c r="J18" s="63"/>
      <c r="K18" s="63"/>
      <c r="L18" s="63"/>
      <c r="M18" s="63"/>
      <c r="N18" s="63"/>
      <c r="O18" s="63"/>
      <c r="P18" s="47"/>
      <c r="Q18" s="64"/>
      <c r="R18" s="64"/>
      <c r="S18" s="64"/>
      <c r="T18" s="64"/>
      <c r="U18" s="64"/>
      <c r="V18" s="64"/>
      <c r="W18" s="64"/>
      <c r="X18" s="64"/>
      <c r="Y18" s="64"/>
      <c r="Z18" s="64"/>
    </row>
    <row r="19" spans="1:26" ht="10.5" customHeight="1" x14ac:dyDescent="0.3">
      <c r="A19" s="69" t="s">
        <v>31</v>
      </c>
      <c r="B19" s="63"/>
      <c r="C19" s="70"/>
      <c r="D19" s="44">
        <f t="shared" ref="D19:O19" si="1">SUM(D20:D28)</f>
        <v>58200</v>
      </c>
      <c r="E19" s="44">
        <f t="shared" si="1"/>
        <v>58200</v>
      </c>
      <c r="F19" s="44">
        <f t="shared" si="1"/>
        <v>58200</v>
      </c>
      <c r="G19" s="44">
        <f t="shared" si="1"/>
        <v>56800</v>
      </c>
      <c r="H19" s="44">
        <f t="shared" si="1"/>
        <v>56800</v>
      </c>
      <c r="I19" s="44">
        <f t="shared" si="1"/>
        <v>56800</v>
      </c>
      <c r="J19" s="44">
        <f t="shared" si="1"/>
        <v>56800</v>
      </c>
      <c r="K19" s="44">
        <f>SUM(K20:K28)</f>
        <v>56800</v>
      </c>
      <c r="L19" s="44">
        <f>SUM(L20:L28)</f>
        <v>56800</v>
      </c>
      <c r="M19" s="44">
        <f t="shared" si="1"/>
        <v>56800</v>
      </c>
      <c r="N19" s="44">
        <f t="shared" si="1"/>
        <v>56800</v>
      </c>
      <c r="O19" s="44">
        <f t="shared" si="1"/>
        <v>56800</v>
      </c>
      <c r="P19" s="45">
        <f>SUM(D19:O19)</f>
        <v>685800</v>
      </c>
      <c r="Q19" s="64"/>
      <c r="R19" s="64"/>
      <c r="S19" s="64"/>
      <c r="T19" s="64"/>
      <c r="U19" s="64"/>
      <c r="V19" s="64"/>
      <c r="W19" s="64"/>
      <c r="X19" s="64"/>
      <c r="Y19" s="64"/>
      <c r="Z19" s="64"/>
    </row>
    <row r="20" spans="1:26" ht="10.5" customHeight="1" x14ac:dyDescent="0.3">
      <c r="A20" s="64" t="s">
        <v>32</v>
      </c>
      <c r="B20" s="63"/>
      <c r="C20" s="70"/>
      <c r="D20" s="46">
        <v>8600</v>
      </c>
      <c r="E20" s="46">
        <v>8600</v>
      </c>
      <c r="F20" s="46">
        <v>8600</v>
      </c>
      <c r="G20" s="46">
        <v>7200</v>
      </c>
      <c r="H20" s="46">
        <v>7200</v>
      </c>
      <c r="I20" s="46">
        <v>7200</v>
      </c>
      <c r="J20" s="46">
        <v>7200</v>
      </c>
      <c r="K20" s="46">
        <v>7200</v>
      </c>
      <c r="L20" s="46">
        <v>7200</v>
      </c>
      <c r="M20" s="46">
        <v>7200</v>
      </c>
      <c r="N20" s="46">
        <v>7200</v>
      </c>
      <c r="O20" s="46">
        <v>7200</v>
      </c>
      <c r="P20" s="47">
        <f t="shared" ref="P20:P28" si="2">SUM(D20:O20)</f>
        <v>90600</v>
      </c>
      <c r="Q20" s="64"/>
      <c r="R20" s="64"/>
      <c r="S20" s="64"/>
      <c r="T20" s="64"/>
      <c r="U20" s="64"/>
      <c r="V20" s="64"/>
      <c r="W20" s="64"/>
      <c r="X20" s="64"/>
      <c r="Y20" s="64"/>
      <c r="Z20" s="64"/>
    </row>
    <row r="21" spans="1:26" ht="10.5" customHeight="1" x14ac:dyDescent="0.3">
      <c r="A21" s="64" t="s">
        <v>33</v>
      </c>
      <c r="B21" s="63"/>
      <c r="C21" s="70"/>
      <c r="D21" s="46">
        <v>7500</v>
      </c>
      <c r="E21" s="46">
        <v>7500</v>
      </c>
      <c r="F21" s="46">
        <v>7500</v>
      </c>
      <c r="G21" s="46">
        <v>7500</v>
      </c>
      <c r="H21" s="46">
        <v>7500</v>
      </c>
      <c r="I21" s="46">
        <v>7500</v>
      </c>
      <c r="J21" s="46">
        <v>7500</v>
      </c>
      <c r="K21" s="46">
        <v>7500</v>
      </c>
      <c r="L21" s="46">
        <v>7500</v>
      </c>
      <c r="M21" s="46">
        <v>7500</v>
      </c>
      <c r="N21" s="46">
        <v>7500</v>
      </c>
      <c r="O21" s="46">
        <v>7500</v>
      </c>
      <c r="P21" s="47">
        <f t="shared" si="2"/>
        <v>90000</v>
      </c>
      <c r="Q21" s="64"/>
      <c r="R21" s="64"/>
      <c r="S21" s="64"/>
      <c r="T21" s="64"/>
      <c r="U21" s="64"/>
      <c r="V21" s="64"/>
      <c r="W21" s="64"/>
      <c r="X21" s="64"/>
      <c r="Y21" s="64"/>
      <c r="Z21" s="64"/>
    </row>
    <row r="22" spans="1:26" ht="10.5" customHeight="1" x14ac:dyDescent="0.3">
      <c r="A22" s="64" t="s">
        <v>34</v>
      </c>
      <c r="B22" s="63"/>
      <c r="C22" s="70"/>
      <c r="D22" s="46">
        <v>4200</v>
      </c>
      <c r="E22" s="46">
        <v>4200</v>
      </c>
      <c r="F22" s="46">
        <v>4200</v>
      </c>
      <c r="G22" s="46">
        <v>4200</v>
      </c>
      <c r="H22" s="46">
        <v>4200</v>
      </c>
      <c r="I22" s="46">
        <v>4200</v>
      </c>
      <c r="J22" s="46">
        <v>4200</v>
      </c>
      <c r="K22" s="46">
        <v>4200</v>
      </c>
      <c r="L22" s="46">
        <v>4200</v>
      </c>
      <c r="M22" s="46">
        <v>4200</v>
      </c>
      <c r="N22" s="46">
        <v>4200</v>
      </c>
      <c r="O22" s="46">
        <v>4200</v>
      </c>
      <c r="P22" s="47">
        <f t="shared" si="2"/>
        <v>50400</v>
      </c>
      <c r="Q22" s="64"/>
      <c r="R22" s="64"/>
      <c r="S22" s="64"/>
      <c r="T22" s="64"/>
      <c r="U22" s="64"/>
      <c r="V22" s="64"/>
      <c r="W22" s="64"/>
      <c r="X22" s="64"/>
      <c r="Y22" s="64"/>
      <c r="Z22" s="64"/>
    </row>
    <row r="23" spans="1:26" ht="10.5" customHeight="1" x14ac:dyDescent="0.3">
      <c r="A23" s="64" t="s">
        <v>35</v>
      </c>
      <c r="B23" s="63"/>
      <c r="C23" s="70"/>
      <c r="D23" s="46">
        <v>6700</v>
      </c>
      <c r="E23" s="46">
        <v>6700</v>
      </c>
      <c r="F23" s="46">
        <v>6700</v>
      </c>
      <c r="G23" s="46">
        <v>6700</v>
      </c>
      <c r="H23" s="46">
        <v>6700</v>
      </c>
      <c r="I23" s="46">
        <v>6700</v>
      </c>
      <c r="J23" s="46">
        <v>6700</v>
      </c>
      <c r="K23" s="46">
        <v>6700</v>
      </c>
      <c r="L23" s="46">
        <v>6700</v>
      </c>
      <c r="M23" s="46">
        <v>6700</v>
      </c>
      <c r="N23" s="46">
        <v>6700</v>
      </c>
      <c r="O23" s="46">
        <v>6700</v>
      </c>
      <c r="P23" s="47">
        <f t="shared" si="2"/>
        <v>80400</v>
      </c>
      <c r="Q23" s="64"/>
      <c r="R23" s="64"/>
      <c r="S23" s="64"/>
      <c r="T23" s="64"/>
      <c r="U23" s="64"/>
      <c r="V23" s="64"/>
      <c r="W23" s="64"/>
      <c r="X23" s="64"/>
      <c r="Y23" s="64"/>
      <c r="Z23" s="64"/>
    </row>
    <row r="24" spans="1:26" ht="10.5" customHeight="1" x14ac:dyDescent="0.3">
      <c r="A24" s="64" t="s">
        <v>36</v>
      </c>
      <c r="B24" s="63"/>
      <c r="C24" s="70"/>
      <c r="D24" s="46">
        <v>5600</v>
      </c>
      <c r="E24" s="46">
        <v>5600</v>
      </c>
      <c r="F24" s="46">
        <v>5600</v>
      </c>
      <c r="G24" s="46">
        <v>5600</v>
      </c>
      <c r="H24" s="46">
        <v>5600</v>
      </c>
      <c r="I24" s="46">
        <v>5600</v>
      </c>
      <c r="J24" s="46">
        <v>5600</v>
      </c>
      <c r="K24" s="46">
        <v>5600</v>
      </c>
      <c r="L24" s="46">
        <v>5600</v>
      </c>
      <c r="M24" s="46">
        <v>5600</v>
      </c>
      <c r="N24" s="46">
        <v>5600</v>
      </c>
      <c r="O24" s="46">
        <v>5600</v>
      </c>
      <c r="P24" s="47">
        <f t="shared" si="2"/>
        <v>67200</v>
      </c>
      <c r="Q24" s="64"/>
      <c r="R24" s="64"/>
      <c r="S24" s="64"/>
      <c r="T24" s="64"/>
      <c r="U24" s="64"/>
      <c r="V24" s="64"/>
      <c r="W24" s="64"/>
      <c r="X24" s="64"/>
      <c r="Y24" s="64"/>
      <c r="Z24" s="64"/>
    </row>
    <row r="25" spans="1:26" ht="10.5" customHeight="1" x14ac:dyDescent="0.3">
      <c r="A25" s="64" t="s">
        <v>37</v>
      </c>
      <c r="B25" s="63"/>
      <c r="C25" s="70"/>
      <c r="D25" s="46">
        <v>4500</v>
      </c>
      <c r="E25" s="46">
        <v>4500</v>
      </c>
      <c r="F25" s="46">
        <v>4500</v>
      </c>
      <c r="G25" s="46">
        <v>4500</v>
      </c>
      <c r="H25" s="46">
        <v>4500</v>
      </c>
      <c r="I25" s="46">
        <v>4500</v>
      </c>
      <c r="J25" s="46">
        <v>4500</v>
      </c>
      <c r="K25" s="46">
        <v>4500</v>
      </c>
      <c r="L25" s="46">
        <v>4500</v>
      </c>
      <c r="M25" s="46">
        <v>4500</v>
      </c>
      <c r="N25" s="46">
        <v>4500</v>
      </c>
      <c r="O25" s="46">
        <v>4500</v>
      </c>
      <c r="P25" s="47">
        <f t="shared" si="2"/>
        <v>54000</v>
      </c>
      <c r="Q25" s="64"/>
      <c r="R25" s="64"/>
      <c r="S25" s="64"/>
      <c r="T25" s="64"/>
      <c r="U25" s="64"/>
      <c r="V25" s="64"/>
      <c r="W25" s="64"/>
      <c r="X25" s="64"/>
      <c r="Y25" s="64"/>
      <c r="Z25" s="64"/>
    </row>
    <row r="26" spans="1:26" ht="10.5" customHeight="1" x14ac:dyDescent="0.3">
      <c r="A26" s="64" t="s">
        <v>38</v>
      </c>
      <c r="B26" s="63"/>
      <c r="C26" s="70"/>
      <c r="D26" s="46">
        <v>5600</v>
      </c>
      <c r="E26" s="46">
        <v>5600</v>
      </c>
      <c r="F26" s="46">
        <v>5600</v>
      </c>
      <c r="G26" s="46">
        <v>5600</v>
      </c>
      <c r="H26" s="46">
        <v>5600</v>
      </c>
      <c r="I26" s="46">
        <v>5600</v>
      </c>
      <c r="J26" s="46">
        <v>5600</v>
      </c>
      <c r="K26" s="46">
        <v>5600</v>
      </c>
      <c r="L26" s="46">
        <v>5600</v>
      </c>
      <c r="M26" s="46">
        <v>5600</v>
      </c>
      <c r="N26" s="46">
        <v>5600</v>
      </c>
      <c r="O26" s="46">
        <v>5600</v>
      </c>
      <c r="P26" s="47">
        <f t="shared" si="2"/>
        <v>67200</v>
      </c>
      <c r="Q26" s="64"/>
      <c r="R26" s="64"/>
      <c r="S26" s="64"/>
      <c r="T26" s="64"/>
      <c r="U26" s="64"/>
      <c r="V26" s="64"/>
      <c r="W26" s="64"/>
      <c r="X26" s="64"/>
      <c r="Y26" s="64"/>
      <c r="Z26" s="64"/>
    </row>
    <row r="27" spans="1:26" ht="10.5" customHeight="1" x14ac:dyDescent="0.3">
      <c r="A27" s="64" t="s">
        <v>39</v>
      </c>
      <c r="B27" s="63"/>
      <c r="C27" s="70"/>
      <c r="D27" s="46">
        <v>7500</v>
      </c>
      <c r="E27" s="46">
        <v>7500</v>
      </c>
      <c r="F27" s="46">
        <v>7500</v>
      </c>
      <c r="G27" s="46">
        <v>7500</v>
      </c>
      <c r="H27" s="46">
        <v>7500</v>
      </c>
      <c r="I27" s="46">
        <v>7500</v>
      </c>
      <c r="J27" s="46">
        <v>7500</v>
      </c>
      <c r="K27" s="46">
        <v>7500</v>
      </c>
      <c r="L27" s="46">
        <v>7500</v>
      </c>
      <c r="M27" s="46">
        <v>7500</v>
      </c>
      <c r="N27" s="46">
        <v>7500</v>
      </c>
      <c r="O27" s="46">
        <v>7500</v>
      </c>
      <c r="P27" s="47">
        <f t="shared" si="2"/>
        <v>90000</v>
      </c>
      <c r="Q27" s="64"/>
      <c r="R27" s="64"/>
      <c r="S27" s="64"/>
      <c r="T27" s="64"/>
      <c r="U27" s="64"/>
      <c r="V27" s="64"/>
      <c r="W27" s="64"/>
      <c r="X27" s="64"/>
      <c r="Y27" s="64"/>
      <c r="Z27" s="64"/>
    </row>
    <row r="28" spans="1:26" ht="10.5" customHeight="1" x14ac:dyDescent="0.3">
      <c r="A28" s="64" t="s">
        <v>40</v>
      </c>
      <c r="B28" s="63"/>
      <c r="C28" s="70"/>
      <c r="D28" s="46">
        <v>8000</v>
      </c>
      <c r="E28" s="46">
        <v>8000</v>
      </c>
      <c r="F28" s="46">
        <v>8000</v>
      </c>
      <c r="G28" s="46">
        <v>8000</v>
      </c>
      <c r="H28" s="46">
        <v>8000</v>
      </c>
      <c r="I28" s="46">
        <v>8000</v>
      </c>
      <c r="J28" s="46">
        <v>8000</v>
      </c>
      <c r="K28" s="46">
        <v>8000</v>
      </c>
      <c r="L28" s="46">
        <v>8000</v>
      </c>
      <c r="M28" s="46">
        <v>8000</v>
      </c>
      <c r="N28" s="46">
        <v>8000</v>
      </c>
      <c r="O28" s="46">
        <v>8000</v>
      </c>
      <c r="P28" s="47">
        <f t="shared" si="2"/>
        <v>96000</v>
      </c>
      <c r="Q28" s="64"/>
      <c r="R28" s="64"/>
      <c r="S28" s="64"/>
      <c r="T28" s="64"/>
      <c r="U28" s="64"/>
      <c r="V28" s="64"/>
      <c r="W28" s="64"/>
      <c r="X28" s="64"/>
      <c r="Y28" s="64"/>
      <c r="Z28" s="64"/>
    </row>
    <row r="29" spans="1:26" ht="10.5" customHeight="1" x14ac:dyDescent="0.3">
      <c r="A29" s="64"/>
      <c r="B29" s="63"/>
      <c r="C29" s="63"/>
      <c r="D29" s="63"/>
      <c r="E29" s="63"/>
      <c r="F29" s="63"/>
      <c r="G29" s="63"/>
      <c r="H29" s="63"/>
      <c r="I29" s="63"/>
      <c r="J29" s="63"/>
      <c r="K29" s="63"/>
      <c r="L29" s="63"/>
      <c r="M29" s="63"/>
      <c r="N29" s="63"/>
      <c r="O29" s="63"/>
      <c r="P29" s="47"/>
      <c r="Q29" s="64"/>
      <c r="R29" s="64"/>
      <c r="S29" s="64"/>
      <c r="T29" s="64"/>
      <c r="U29" s="64"/>
      <c r="V29" s="64"/>
      <c r="W29" s="64"/>
      <c r="X29" s="64"/>
      <c r="Y29" s="64"/>
      <c r="Z29" s="64"/>
    </row>
    <row r="30" spans="1:26" ht="10.5" customHeight="1" x14ac:dyDescent="0.3">
      <c r="A30" s="64"/>
      <c r="B30" s="63"/>
      <c r="C30" s="63"/>
      <c r="D30" s="63"/>
      <c r="E30" s="63"/>
      <c r="F30" s="63"/>
      <c r="G30" s="63"/>
      <c r="H30" s="63"/>
      <c r="I30" s="63"/>
      <c r="J30" s="63"/>
      <c r="K30" s="63"/>
      <c r="L30" s="63"/>
      <c r="M30" s="63"/>
      <c r="N30" s="63"/>
      <c r="O30" s="63"/>
      <c r="P30" s="47"/>
      <c r="Q30" s="64"/>
      <c r="R30" s="64"/>
      <c r="S30" s="64"/>
      <c r="T30" s="64"/>
      <c r="U30" s="64"/>
      <c r="V30" s="64"/>
      <c r="W30" s="64"/>
      <c r="X30" s="64"/>
      <c r="Y30" s="64"/>
      <c r="Z30" s="64"/>
    </row>
    <row r="31" spans="1:26" ht="10.5" customHeight="1" x14ac:dyDescent="0.3">
      <c r="A31" s="64"/>
      <c r="B31" s="63"/>
      <c r="C31" s="63"/>
      <c r="D31" s="63"/>
      <c r="E31" s="63"/>
      <c r="F31" s="63"/>
      <c r="G31" s="63"/>
      <c r="H31" s="63"/>
      <c r="I31" s="63"/>
      <c r="J31" s="63"/>
      <c r="K31" s="63"/>
      <c r="L31" s="63"/>
      <c r="M31" s="63"/>
      <c r="N31" s="63"/>
      <c r="O31" s="63"/>
      <c r="P31" s="47"/>
      <c r="Q31" s="64"/>
      <c r="R31" s="64"/>
      <c r="S31" s="64"/>
      <c r="T31" s="64"/>
      <c r="U31" s="64"/>
      <c r="V31" s="64"/>
      <c r="W31" s="64"/>
      <c r="X31" s="64"/>
      <c r="Y31" s="64"/>
      <c r="Z31" s="64"/>
    </row>
    <row r="32" spans="1:26" ht="10.5" customHeight="1" x14ac:dyDescent="0.3">
      <c r="A32" s="64"/>
      <c r="B32" s="63"/>
      <c r="C32" s="63"/>
      <c r="D32" s="63"/>
      <c r="E32" s="63"/>
      <c r="F32" s="63"/>
      <c r="G32" s="63"/>
      <c r="H32" s="63"/>
      <c r="I32" s="63"/>
      <c r="J32" s="63"/>
      <c r="K32" s="63"/>
      <c r="L32" s="63"/>
      <c r="M32" s="63"/>
      <c r="N32" s="63"/>
      <c r="O32" s="63"/>
      <c r="P32" s="47"/>
      <c r="Q32" s="64"/>
      <c r="R32" s="64"/>
      <c r="S32" s="64"/>
      <c r="T32" s="64"/>
      <c r="U32" s="64"/>
      <c r="V32" s="64"/>
      <c r="W32" s="64"/>
      <c r="X32" s="64"/>
      <c r="Y32" s="64"/>
      <c r="Z32" s="64"/>
    </row>
    <row r="33" spans="1:26" ht="10.5" customHeight="1" x14ac:dyDescent="0.3">
      <c r="A33" s="64"/>
      <c r="B33" s="63"/>
      <c r="C33" s="63"/>
      <c r="D33" s="63"/>
      <c r="E33" s="63"/>
      <c r="F33" s="63"/>
      <c r="G33" s="63"/>
      <c r="H33" s="63"/>
      <c r="I33" s="63"/>
      <c r="J33" s="63"/>
      <c r="K33" s="63"/>
      <c r="L33" s="63"/>
      <c r="M33" s="63"/>
      <c r="N33" s="63"/>
      <c r="O33" s="63"/>
      <c r="P33" s="47"/>
      <c r="Q33" s="64"/>
      <c r="R33" s="64"/>
      <c r="S33" s="64"/>
      <c r="T33" s="64"/>
      <c r="U33" s="64"/>
      <c r="V33" s="64"/>
      <c r="W33" s="64"/>
      <c r="X33" s="64"/>
      <c r="Y33" s="64"/>
      <c r="Z33" s="64"/>
    </row>
    <row r="34" spans="1:26" ht="10.5" customHeight="1" x14ac:dyDescent="0.3">
      <c r="A34" s="64"/>
      <c r="B34" s="63"/>
      <c r="C34" s="63"/>
      <c r="D34" s="63"/>
      <c r="E34" s="63"/>
      <c r="F34" s="63"/>
      <c r="G34" s="63"/>
      <c r="H34" s="63"/>
      <c r="I34" s="63"/>
      <c r="J34" s="63"/>
      <c r="K34" s="63"/>
      <c r="L34" s="63"/>
      <c r="M34" s="63"/>
      <c r="N34" s="63"/>
      <c r="O34" s="63"/>
      <c r="P34" s="47"/>
      <c r="Q34" s="64"/>
      <c r="R34" s="64"/>
      <c r="S34" s="64"/>
      <c r="T34" s="64"/>
      <c r="U34" s="64"/>
      <c r="V34" s="64"/>
      <c r="W34" s="64"/>
      <c r="X34" s="64"/>
      <c r="Y34" s="64"/>
      <c r="Z34" s="64"/>
    </row>
    <row r="35" spans="1:26" ht="10.5" customHeight="1" x14ac:dyDescent="0.3">
      <c r="A35" s="64"/>
      <c r="B35" s="63"/>
      <c r="C35" s="63"/>
      <c r="D35" s="63"/>
      <c r="E35" s="63"/>
      <c r="F35" s="63"/>
      <c r="G35" s="63"/>
      <c r="H35" s="63"/>
      <c r="I35" s="63"/>
      <c r="J35" s="63"/>
      <c r="K35" s="63"/>
      <c r="L35" s="63"/>
      <c r="M35" s="63"/>
      <c r="N35" s="63"/>
      <c r="O35" s="63"/>
      <c r="P35" s="47"/>
      <c r="Q35" s="64"/>
      <c r="R35" s="64"/>
      <c r="S35" s="64"/>
      <c r="T35" s="64"/>
      <c r="U35" s="64"/>
      <c r="V35" s="64"/>
      <c r="W35" s="64"/>
      <c r="X35" s="64"/>
      <c r="Y35" s="64"/>
      <c r="Z35" s="64"/>
    </row>
    <row r="36" spans="1:26" ht="10.5" customHeight="1" x14ac:dyDescent="0.3">
      <c r="A36" s="64"/>
      <c r="B36" s="63"/>
      <c r="C36" s="63"/>
      <c r="D36" s="63"/>
      <c r="E36" s="63"/>
      <c r="F36" s="63"/>
      <c r="G36" s="63"/>
      <c r="H36" s="63"/>
      <c r="I36" s="63"/>
      <c r="J36" s="63"/>
      <c r="K36" s="63"/>
      <c r="L36" s="63"/>
      <c r="M36" s="63"/>
      <c r="N36" s="63"/>
      <c r="O36" s="63"/>
      <c r="P36" s="47"/>
      <c r="Q36" s="64"/>
      <c r="R36" s="64"/>
      <c r="S36" s="64"/>
      <c r="T36" s="64"/>
      <c r="U36" s="64"/>
      <c r="V36" s="64"/>
      <c r="W36" s="64"/>
      <c r="X36" s="64"/>
      <c r="Y36" s="64"/>
      <c r="Z36" s="64"/>
    </row>
    <row r="37" spans="1:26" ht="10.5" customHeight="1" x14ac:dyDescent="0.3">
      <c r="A37" s="64"/>
      <c r="B37" s="63"/>
      <c r="C37" s="63"/>
      <c r="D37" s="63"/>
      <c r="E37" s="63"/>
      <c r="F37" s="63"/>
      <c r="G37" s="63"/>
      <c r="H37" s="63"/>
      <c r="I37" s="63"/>
      <c r="J37" s="63"/>
      <c r="K37" s="63"/>
      <c r="L37" s="63"/>
      <c r="M37" s="63"/>
      <c r="N37" s="63"/>
      <c r="O37" s="63"/>
      <c r="P37" s="47"/>
      <c r="Q37" s="64"/>
      <c r="R37" s="64"/>
      <c r="S37" s="64"/>
      <c r="T37" s="64"/>
      <c r="U37" s="64"/>
      <c r="V37" s="64"/>
      <c r="W37" s="64"/>
      <c r="X37" s="64"/>
      <c r="Y37" s="64"/>
      <c r="Z37" s="64"/>
    </row>
    <row r="38" spans="1:26" ht="10.5" customHeight="1" x14ac:dyDescent="0.3">
      <c r="A38" s="64"/>
      <c r="B38" s="63"/>
      <c r="C38" s="63"/>
      <c r="D38" s="63"/>
      <c r="E38" s="63"/>
      <c r="F38" s="63"/>
      <c r="G38" s="63"/>
      <c r="H38" s="63"/>
      <c r="I38" s="63"/>
      <c r="J38" s="63"/>
      <c r="K38" s="63"/>
      <c r="L38" s="63"/>
      <c r="M38" s="63"/>
      <c r="N38" s="63"/>
      <c r="O38" s="63"/>
      <c r="P38" s="47"/>
      <c r="Q38" s="64"/>
      <c r="R38" s="64"/>
      <c r="S38" s="64"/>
      <c r="T38" s="64"/>
      <c r="U38" s="64"/>
      <c r="V38" s="64"/>
      <c r="W38" s="64"/>
      <c r="X38" s="64"/>
      <c r="Y38" s="64"/>
      <c r="Z38" s="64"/>
    </row>
    <row r="39" spans="1:26" ht="10.5" customHeight="1" x14ac:dyDescent="0.3">
      <c r="A39" s="64"/>
      <c r="B39" s="63"/>
      <c r="C39" s="63"/>
      <c r="D39" s="63"/>
      <c r="E39" s="63"/>
      <c r="F39" s="63"/>
      <c r="G39" s="63"/>
      <c r="H39" s="63"/>
      <c r="I39" s="63"/>
      <c r="J39" s="63"/>
      <c r="K39" s="63"/>
      <c r="L39" s="63"/>
      <c r="M39" s="63"/>
      <c r="N39" s="63"/>
      <c r="O39" s="63"/>
      <c r="P39" s="47"/>
      <c r="Q39" s="64"/>
      <c r="R39" s="64"/>
      <c r="S39" s="64"/>
      <c r="T39" s="64"/>
      <c r="U39" s="64"/>
      <c r="V39" s="64"/>
      <c r="W39" s="64"/>
      <c r="X39" s="64"/>
      <c r="Y39" s="64"/>
      <c r="Z39" s="64"/>
    </row>
    <row r="40" spans="1:26" ht="10.5" customHeight="1" x14ac:dyDescent="0.3">
      <c r="A40" s="64"/>
      <c r="B40" s="63"/>
      <c r="C40" s="63"/>
      <c r="D40" s="63"/>
      <c r="E40" s="63"/>
      <c r="F40" s="63"/>
      <c r="G40" s="63"/>
      <c r="H40" s="63"/>
      <c r="I40" s="63"/>
      <c r="J40" s="63"/>
      <c r="K40" s="63"/>
      <c r="L40" s="63"/>
      <c r="M40" s="63"/>
      <c r="N40" s="63"/>
      <c r="O40" s="63"/>
      <c r="P40" s="47"/>
      <c r="Q40" s="64"/>
      <c r="R40" s="64"/>
      <c r="S40" s="64"/>
      <c r="T40" s="64"/>
      <c r="U40" s="64"/>
      <c r="V40" s="64"/>
      <c r="W40" s="64"/>
      <c r="X40" s="64"/>
      <c r="Y40" s="64"/>
      <c r="Z40" s="64"/>
    </row>
    <row r="41" spans="1:26" ht="10.5" customHeight="1" x14ac:dyDescent="0.3">
      <c r="A41" s="64"/>
      <c r="B41" s="63"/>
      <c r="C41" s="63"/>
      <c r="D41" s="63"/>
      <c r="E41" s="63"/>
      <c r="F41" s="63"/>
      <c r="G41" s="63"/>
      <c r="H41" s="63"/>
      <c r="I41" s="63"/>
      <c r="J41" s="63"/>
      <c r="K41" s="63"/>
      <c r="L41" s="63"/>
      <c r="M41" s="63"/>
      <c r="N41" s="63"/>
      <c r="O41" s="63"/>
      <c r="P41" s="47"/>
      <c r="Q41" s="64"/>
      <c r="R41" s="64"/>
      <c r="S41" s="64"/>
      <c r="T41" s="64"/>
      <c r="U41" s="64"/>
      <c r="V41" s="64"/>
      <c r="W41" s="64"/>
      <c r="X41" s="64"/>
      <c r="Y41" s="64"/>
      <c r="Z41" s="64"/>
    </row>
    <row r="42" spans="1:26" ht="10.5" customHeight="1" x14ac:dyDescent="0.3">
      <c r="A42" s="64"/>
      <c r="B42" s="63"/>
      <c r="C42" s="63"/>
      <c r="D42" s="63"/>
      <c r="E42" s="63"/>
      <c r="F42" s="63"/>
      <c r="G42" s="63"/>
      <c r="H42" s="63"/>
      <c r="I42" s="63"/>
      <c r="J42" s="63"/>
      <c r="K42" s="63"/>
      <c r="L42" s="63"/>
      <c r="M42" s="63"/>
      <c r="N42" s="63"/>
      <c r="O42" s="63"/>
      <c r="P42" s="47"/>
      <c r="Q42" s="64"/>
      <c r="R42" s="64"/>
      <c r="S42" s="64"/>
      <c r="T42" s="64"/>
      <c r="U42" s="64"/>
      <c r="V42" s="64"/>
      <c r="W42" s="64"/>
      <c r="X42" s="64"/>
      <c r="Y42" s="64"/>
      <c r="Z42" s="64"/>
    </row>
    <row r="43" spans="1:26" ht="10.5" customHeight="1" x14ac:dyDescent="0.3">
      <c r="A43" s="64"/>
      <c r="B43" s="63"/>
      <c r="C43" s="63"/>
      <c r="D43" s="63"/>
      <c r="E43" s="63"/>
      <c r="F43" s="63"/>
      <c r="G43" s="63"/>
      <c r="H43" s="63"/>
      <c r="I43" s="63"/>
      <c r="J43" s="63"/>
      <c r="K43" s="63"/>
      <c r="L43" s="63"/>
      <c r="M43" s="63"/>
      <c r="N43" s="63"/>
      <c r="O43" s="63"/>
      <c r="P43" s="47"/>
      <c r="Q43" s="64"/>
      <c r="R43" s="64"/>
      <c r="S43" s="64"/>
      <c r="T43" s="64"/>
      <c r="U43" s="64"/>
      <c r="V43" s="64"/>
      <c r="W43" s="64"/>
      <c r="X43" s="64"/>
      <c r="Y43" s="64"/>
      <c r="Z43" s="64"/>
    </row>
    <row r="44" spans="1:26" ht="10.5" customHeight="1" x14ac:dyDescent="0.3">
      <c r="A44" s="64"/>
      <c r="B44" s="63"/>
      <c r="C44" s="63"/>
      <c r="D44" s="63"/>
      <c r="E44" s="63"/>
      <c r="F44" s="63"/>
      <c r="G44" s="63"/>
      <c r="H44" s="63"/>
      <c r="I44" s="63"/>
      <c r="J44" s="63"/>
      <c r="K44" s="63"/>
      <c r="L44" s="63"/>
      <c r="M44" s="63"/>
      <c r="N44" s="63"/>
      <c r="O44" s="63"/>
      <c r="P44" s="47"/>
      <c r="Q44" s="64"/>
      <c r="R44" s="64"/>
      <c r="S44" s="64"/>
      <c r="T44" s="64"/>
      <c r="U44" s="64"/>
      <c r="V44" s="64"/>
      <c r="W44" s="64"/>
      <c r="X44" s="64"/>
      <c r="Y44" s="64"/>
      <c r="Z44" s="64"/>
    </row>
    <row r="45" spans="1:26" ht="10.5" customHeight="1" x14ac:dyDescent="0.3">
      <c r="A45" s="64"/>
      <c r="B45" s="63"/>
      <c r="C45" s="63"/>
      <c r="D45" s="63"/>
      <c r="E45" s="63"/>
      <c r="F45" s="63"/>
      <c r="G45" s="63"/>
      <c r="H45" s="63"/>
      <c r="I45" s="63"/>
      <c r="J45" s="63"/>
      <c r="K45" s="63"/>
      <c r="L45" s="63"/>
      <c r="M45" s="63"/>
      <c r="N45" s="63"/>
      <c r="O45" s="63"/>
      <c r="P45" s="47"/>
      <c r="Q45" s="64"/>
      <c r="R45" s="64"/>
      <c r="S45" s="64"/>
      <c r="T45" s="64"/>
      <c r="U45" s="64"/>
      <c r="V45" s="64"/>
      <c r="W45" s="64"/>
      <c r="X45" s="64"/>
      <c r="Y45" s="64"/>
      <c r="Z45" s="64"/>
    </row>
    <row r="46" spans="1:26" ht="10.5" customHeight="1" x14ac:dyDescent="0.3">
      <c r="A46" s="64"/>
      <c r="B46" s="63"/>
      <c r="C46" s="63"/>
      <c r="D46" s="63"/>
      <c r="E46" s="63"/>
      <c r="F46" s="63"/>
      <c r="G46" s="63"/>
      <c r="H46" s="63"/>
      <c r="I46" s="63"/>
      <c r="J46" s="63"/>
      <c r="K46" s="63"/>
      <c r="L46" s="63"/>
      <c r="M46" s="63"/>
      <c r="N46" s="63"/>
      <c r="O46" s="63"/>
      <c r="P46" s="47"/>
      <c r="Q46" s="64"/>
      <c r="R46" s="64"/>
      <c r="S46" s="64"/>
      <c r="T46" s="64"/>
      <c r="U46" s="64"/>
      <c r="V46" s="64"/>
      <c r="W46" s="64"/>
      <c r="X46" s="64"/>
      <c r="Y46" s="64"/>
      <c r="Z46" s="64"/>
    </row>
    <row r="47" spans="1:26" ht="10.5" customHeight="1" x14ac:dyDescent="0.3">
      <c r="A47" s="64"/>
      <c r="B47" s="63"/>
      <c r="C47" s="63"/>
      <c r="D47" s="63"/>
      <c r="E47" s="63"/>
      <c r="F47" s="63"/>
      <c r="G47" s="63"/>
      <c r="H47" s="63"/>
      <c r="I47" s="63"/>
      <c r="J47" s="63"/>
      <c r="K47" s="63"/>
      <c r="L47" s="63"/>
      <c r="M47" s="63"/>
      <c r="N47" s="63"/>
      <c r="O47" s="63"/>
      <c r="P47" s="47"/>
      <c r="Q47" s="64"/>
      <c r="R47" s="64"/>
      <c r="S47" s="64"/>
      <c r="T47" s="64"/>
      <c r="U47" s="64"/>
      <c r="V47" s="64"/>
      <c r="W47" s="64"/>
      <c r="X47" s="64"/>
      <c r="Y47" s="64"/>
      <c r="Z47" s="64"/>
    </row>
    <row r="48" spans="1:26" ht="10.5" customHeight="1" x14ac:dyDescent="0.3">
      <c r="A48" s="64"/>
      <c r="B48" s="63"/>
      <c r="C48" s="63"/>
      <c r="D48" s="63"/>
      <c r="E48" s="63"/>
      <c r="F48" s="63"/>
      <c r="G48" s="63"/>
      <c r="H48" s="63"/>
      <c r="I48" s="63"/>
      <c r="J48" s="63"/>
      <c r="K48" s="63"/>
      <c r="L48" s="63"/>
      <c r="M48" s="63"/>
      <c r="N48" s="63"/>
      <c r="O48" s="63"/>
      <c r="P48" s="47"/>
      <c r="Q48" s="64"/>
      <c r="R48" s="64"/>
      <c r="S48" s="64"/>
      <c r="T48" s="64"/>
      <c r="U48" s="64"/>
      <c r="V48" s="64"/>
      <c r="W48" s="64"/>
      <c r="X48" s="64"/>
      <c r="Y48" s="64"/>
      <c r="Z48" s="64"/>
    </row>
    <row r="49" spans="1:26" ht="10.5" customHeight="1" x14ac:dyDescent="0.3">
      <c r="A49" s="64"/>
      <c r="B49" s="63"/>
      <c r="C49" s="63"/>
      <c r="D49" s="63"/>
      <c r="E49" s="63"/>
      <c r="F49" s="63"/>
      <c r="G49" s="63"/>
      <c r="H49" s="63"/>
      <c r="I49" s="63"/>
      <c r="J49" s="63"/>
      <c r="K49" s="63"/>
      <c r="L49" s="63"/>
      <c r="M49" s="63"/>
      <c r="N49" s="63"/>
      <c r="O49" s="63"/>
      <c r="P49" s="47"/>
      <c r="Q49" s="64"/>
      <c r="R49" s="64"/>
      <c r="S49" s="64"/>
      <c r="T49" s="64"/>
      <c r="U49" s="64"/>
      <c r="V49" s="64"/>
      <c r="W49" s="64"/>
      <c r="X49" s="64"/>
      <c r="Y49" s="64"/>
      <c r="Z49" s="64"/>
    </row>
    <row r="50" spans="1:26" ht="10.5" customHeight="1" x14ac:dyDescent="0.3">
      <c r="A50" s="64"/>
      <c r="B50" s="63"/>
      <c r="C50" s="63"/>
      <c r="D50" s="63"/>
      <c r="E50" s="63"/>
      <c r="F50" s="63"/>
      <c r="G50" s="63"/>
      <c r="H50" s="63"/>
      <c r="I50" s="63"/>
      <c r="J50" s="63"/>
      <c r="K50" s="63"/>
      <c r="L50" s="63"/>
      <c r="M50" s="63"/>
      <c r="N50" s="63"/>
      <c r="O50" s="63"/>
      <c r="P50" s="47"/>
      <c r="Q50" s="64"/>
      <c r="R50" s="64"/>
      <c r="S50" s="64"/>
      <c r="T50" s="64"/>
      <c r="U50" s="64"/>
      <c r="V50" s="64"/>
      <c r="W50" s="64"/>
      <c r="X50" s="64"/>
      <c r="Y50" s="64"/>
      <c r="Z50" s="64"/>
    </row>
    <row r="51" spans="1:26" ht="10.5" customHeight="1" x14ac:dyDescent="0.3">
      <c r="A51" s="64"/>
      <c r="B51" s="63"/>
      <c r="C51" s="63"/>
      <c r="D51" s="63"/>
      <c r="E51" s="63"/>
      <c r="F51" s="63"/>
      <c r="G51" s="63"/>
      <c r="H51" s="63"/>
      <c r="I51" s="63"/>
      <c r="J51" s="63"/>
      <c r="K51" s="63"/>
      <c r="L51" s="63"/>
      <c r="M51" s="63"/>
      <c r="N51" s="63"/>
      <c r="O51" s="63"/>
      <c r="P51" s="47"/>
      <c r="Q51" s="64"/>
      <c r="R51" s="64"/>
      <c r="S51" s="64"/>
      <c r="T51" s="64"/>
      <c r="U51" s="64"/>
      <c r="V51" s="64"/>
      <c r="W51" s="64"/>
      <c r="X51" s="64"/>
      <c r="Y51" s="64"/>
      <c r="Z51" s="64"/>
    </row>
    <row r="52" spans="1:26" ht="10.5" customHeight="1" x14ac:dyDescent="0.3">
      <c r="A52" s="64"/>
      <c r="B52" s="63"/>
      <c r="C52" s="63"/>
      <c r="D52" s="63"/>
      <c r="E52" s="63"/>
      <c r="F52" s="63"/>
      <c r="G52" s="63"/>
      <c r="H52" s="63"/>
      <c r="I52" s="63"/>
      <c r="J52" s="63"/>
      <c r="K52" s="63"/>
      <c r="L52" s="63"/>
      <c r="M52" s="63"/>
      <c r="N52" s="63"/>
      <c r="O52" s="63"/>
      <c r="P52" s="47"/>
      <c r="Q52" s="64"/>
      <c r="R52" s="64"/>
      <c r="S52" s="64"/>
      <c r="T52" s="64"/>
      <c r="U52" s="64"/>
      <c r="V52" s="64"/>
      <c r="W52" s="64"/>
      <c r="X52" s="64"/>
      <c r="Y52" s="64"/>
      <c r="Z52" s="64"/>
    </row>
    <row r="53" spans="1:26" ht="10.5" customHeight="1" x14ac:dyDescent="0.3">
      <c r="A53" s="64"/>
      <c r="B53" s="63"/>
      <c r="C53" s="63"/>
      <c r="D53" s="63"/>
      <c r="E53" s="63"/>
      <c r="F53" s="63"/>
      <c r="G53" s="63"/>
      <c r="H53" s="63"/>
      <c r="I53" s="63"/>
      <c r="J53" s="63"/>
      <c r="K53" s="63"/>
      <c r="L53" s="63"/>
      <c r="M53" s="63"/>
      <c r="N53" s="63"/>
      <c r="O53" s="63"/>
      <c r="P53" s="47"/>
      <c r="Q53" s="64"/>
      <c r="R53" s="64"/>
      <c r="S53" s="64"/>
      <c r="T53" s="64"/>
      <c r="U53" s="64"/>
      <c r="V53" s="64"/>
      <c r="W53" s="64"/>
      <c r="X53" s="64"/>
      <c r="Y53" s="64"/>
      <c r="Z53" s="64"/>
    </row>
    <row r="54" spans="1:26" ht="10.5" customHeight="1" x14ac:dyDescent="0.3">
      <c r="A54" s="64"/>
      <c r="B54" s="63"/>
      <c r="C54" s="63"/>
      <c r="D54" s="63"/>
      <c r="E54" s="63"/>
      <c r="F54" s="63"/>
      <c r="G54" s="63"/>
      <c r="H54" s="63"/>
      <c r="I54" s="63"/>
      <c r="J54" s="63"/>
      <c r="K54" s="63"/>
      <c r="L54" s="63"/>
      <c r="M54" s="63"/>
      <c r="N54" s="63"/>
      <c r="O54" s="63"/>
      <c r="P54" s="47"/>
      <c r="Q54" s="64"/>
      <c r="R54" s="64"/>
      <c r="S54" s="64"/>
      <c r="T54" s="64"/>
      <c r="U54" s="64"/>
      <c r="V54" s="64"/>
      <c r="W54" s="64"/>
      <c r="X54" s="64"/>
      <c r="Y54" s="64"/>
      <c r="Z54" s="64"/>
    </row>
    <row r="55" spans="1:26" ht="10.5" customHeight="1" x14ac:dyDescent="0.3">
      <c r="A55" s="64"/>
      <c r="B55" s="63"/>
      <c r="C55" s="63"/>
      <c r="D55" s="63"/>
      <c r="E55" s="63"/>
      <c r="F55" s="63"/>
      <c r="G55" s="63"/>
      <c r="H55" s="63"/>
      <c r="I55" s="63"/>
      <c r="J55" s="63"/>
      <c r="K55" s="63"/>
      <c r="L55" s="63"/>
      <c r="M55" s="63"/>
      <c r="N55" s="63"/>
      <c r="O55" s="63"/>
      <c r="P55" s="47"/>
      <c r="Q55" s="64"/>
      <c r="R55" s="64"/>
      <c r="S55" s="64"/>
      <c r="T55" s="64"/>
      <c r="U55" s="64"/>
      <c r="V55" s="64"/>
      <c r="W55" s="64"/>
      <c r="X55" s="64"/>
      <c r="Y55" s="64"/>
      <c r="Z55" s="64"/>
    </row>
    <row r="56" spans="1:26" ht="10.5" customHeight="1" x14ac:dyDescent="0.3">
      <c r="A56" s="64"/>
      <c r="B56" s="63"/>
      <c r="C56" s="63"/>
      <c r="D56" s="63"/>
      <c r="E56" s="63"/>
      <c r="F56" s="63"/>
      <c r="G56" s="63"/>
      <c r="H56" s="63"/>
      <c r="I56" s="63"/>
      <c r="J56" s="63"/>
      <c r="K56" s="63"/>
      <c r="L56" s="63"/>
      <c r="M56" s="63"/>
      <c r="N56" s="63"/>
      <c r="O56" s="63"/>
      <c r="P56" s="47"/>
      <c r="Q56" s="64"/>
      <c r="R56" s="64"/>
      <c r="S56" s="64"/>
      <c r="T56" s="64"/>
      <c r="U56" s="64"/>
      <c r="V56" s="64"/>
      <c r="W56" s="64"/>
      <c r="X56" s="64"/>
      <c r="Y56" s="64"/>
      <c r="Z56" s="64"/>
    </row>
    <row r="57" spans="1:26" ht="10.5" customHeight="1" x14ac:dyDescent="0.3">
      <c r="A57" s="64"/>
      <c r="B57" s="63"/>
      <c r="C57" s="63"/>
      <c r="D57" s="63"/>
      <c r="E57" s="63"/>
      <c r="F57" s="63"/>
      <c r="G57" s="63"/>
      <c r="H57" s="63"/>
      <c r="I57" s="63"/>
      <c r="J57" s="63"/>
      <c r="K57" s="63"/>
      <c r="L57" s="63"/>
      <c r="M57" s="63"/>
      <c r="N57" s="63"/>
      <c r="O57" s="63"/>
      <c r="P57" s="47"/>
      <c r="Q57" s="64"/>
      <c r="R57" s="64"/>
      <c r="S57" s="64"/>
      <c r="T57" s="64"/>
      <c r="U57" s="64"/>
      <c r="V57" s="64"/>
      <c r="W57" s="64"/>
      <c r="X57" s="64"/>
      <c r="Y57" s="64"/>
      <c r="Z57" s="64"/>
    </row>
    <row r="58" spans="1:26" ht="10.5" customHeight="1" x14ac:dyDescent="0.3">
      <c r="A58" s="64"/>
      <c r="B58" s="63"/>
      <c r="C58" s="63"/>
      <c r="D58" s="63"/>
      <c r="E58" s="63"/>
      <c r="F58" s="63"/>
      <c r="G58" s="63"/>
      <c r="H58" s="63"/>
      <c r="I58" s="63"/>
      <c r="J58" s="63"/>
      <c r="K58" s="63"/>
      <c r="L58" s="63"/>
      <c r="M58" s="63"/>
      <c r="N58" s="63"/>
      <c r="O58" s="63"/>
      <c r="P58" s="47"/>
      <c r="Q58" s="64"/>
      <c r="R58" s="64"/>
      <c r="S58" s="64"/>
      <c r="T58" s="64"/>
      <c r="U58" s="64"/>
      <c r="V58" s="64"/>
      <c r="W58" s="64"/>
      <c r="X58" s="64"/>
      <c r="Y58" s="64"/>
      <c r="Z58" s="64"/>
    </row>
    <row r="59" spans="1:26" ht="10.5" customHeight="1" x14ac:dyDescent="0.3">
      <c r="A59" s="64"/>
      <c r="B59" s="63"/>
      <c r="C59" s="63"/>
      <c r="D59" s="63"/>
      <c r="E59" s="63"/>
      <c r="F59" s="63"/>
      <c r="G59" s="63"/>
      <c r="H59" s="63"/>
      <c r="I59" s="63"/>
      <c r="J59" s="63"/>
      <c r="K59" s="63"/>
      <c r="L59" s="63"/>
      <c r="M59" s="63"/>
      <c r="N59" s="63"/>
      <c r="O59" s="63"/>
      <c r="P59" s="47"/>
      <c r="Q59" s="64"/>
      <c r="R59" s="64"/>
      <c r="S59" s="64"/>
      <c r="T59" s="64"/>
      <c r="U59" s="64"/>
      <c r="V59" s="64"/>
      <c r="W59" s="64"/>
      <c r="X59" s="64"/>
      <c r="Y59" s="64"/>
      <c r="Z59" s="64"/>
    </row>
    <row r="60" spans="1:26" ht="10.5" customHeight="1" x14ac:dyDescent="0.3">
      <c r="A60" s="64"/>
      <c r="B60" s="63"/>
      <c r="C60" s="63"/>
      <c r="D60" s="63"/>
      <c r="E60" s="63"/>
      <c r="F60" s="63"/>
      <c r="G60" s="63"/>
      <c r="H60" s="63"/>
      <c r="I60" s="63"/>
      <c r="J60" s="63"/>
      <c r="K60" s="63"/>
      <c r="L60" s="63"/>
      <c r="M60" s="63"/>
      <c r="N60" s="63"/>
      <c r="O60" s="63"/>
      <c r="P60" s="47"/>
      <c r="Q60" s="64"/>
      <c r="R60" s="64"/>
      <c r="S60" s="64"/>
      <c r="T60" s="64"/>
      <c r="U60" s="64"/>
      <c r="V60" s="64"/>
      <c r="W60" s="64"/>
      <c r="X60" s="64"/>
      <c r="Y60" s="64"/>
      <c r="Z60" s="64"/>
    </row>
    <row r="61" spans="1:26" ht="10.5" customHeight="1" x14ac:dyDescent="0.3">
      <c r="A61" s="64"/>
      <c r="B61" s="63"/>
      <c r="C61" s="63"/>
      <c r="D61" s="63"/>
      <c r="E61" s="63"/>
      <c r="F61" s="63"/>
      <c r="G61" s="63"/>
      <c r="H61" s="63"/>
      <c r="I61" s="63"/>
      <c r="J61" s="63"/>
      <c r="K61" s="63"/>
      <c r="L61" s="63"/>
      <c r="M61" s="63"/>
      <c r="N61" s="63"/>
      <c r="O61" s="63"/>
      <c r="P61" s="47"/>
      <c r="Q61" s="64"/>
      <c r="R61" s="64"/>
      <c r="S61" s="64"/>
      <c r="T61" s="64"/>
      <c r="U61" s="64"/>
      <c r="V61" s="64"/>
      <c r="W61" s="64"/>
      <c r="X61" s="64"/>
      <c r="Y61" s="64"/>
      <c r="Z61" s="64"/>
    </row>
    <row r="62" spans="1:26" ht="10.5" customHeight="1" x14ac:dyDescent="0.3">
      <c r="A62" s="64"/>
      <c r="B62" s="63"/>
      <c r="C62" s="63"/>
      <c r="D62" s="63"/>
      <c r="E62" s="63"/>
      <c r="F62" s="63"/>
      <c r="G62" s="63"/>
      <c r="H62" s="63"/>
      <c r="I62" s="63"/>
      <c r="J62" s="63"/>
      <c r="K62" s="63"/>
      <c r="L62" s="63"/>
      <c r="M62" s="63"/>
      <c r="N62" s="63"/>
      <c r="O62" s="63"/>
      <c r="P62" s="47"/>
      <c r="Q62" s="64"/>
      <c r="R62" s="64"/>
      <c r="S62" s="64"/>
      <c r="T62" s="64"/>
      <c r="U62" s="64"/>
      <c r="V62" s="64"/>
      <c r="W62" s="64"/>
      <c r="X62" s="64"/>
      <c r="Y62" s="64"/>
      <c r="Z62" s="64"/>
    </row>
    <row r="63" spans="1:26" ht="10.5" customHeight="1" x14ac:dyDescent="0.3">
      <c r="A63" s="64"/>
      <c r="B63" s="63"/>
      <c r="C63" s="63"/>
      <c r="D63" s="63"/>
      <c r="E63" s="63"/>
      <c r="F63" s="63"/>
      <c r="G63" s="63"/>
      <c r="H63" s="63"/>
      <c r="I63" s="63"/>
      <c r="J63" s="63"/>
      <c r="K63" s="63"/>
      <c r="L63" s="63"/>
      <c r="M63" s="63"/>
      <c r="N63" s="63"/>
      <c r="O63" s="63"/>
      <c r="P63" s="47"/>
      <c r="Q63" s="64"/>
      <c r="R63" s="64"/>
      <c r="S63" s="64"/>
      <c r="T63" s="64"/>
      <c r="U63" s="64"/>
      <c r="V63" s="64"/>
      <c r="W63" s="64"/>
      <c r="X63" s="64"/>
      <c r="Y63" s="64"/>
      <c r="Z63" s="64"/>
    </row>
    <row r="64" spans="1:26" ht="10.5" customHeight="1" x14ac:dyDescent="0.3">
      <c r="A64" s="64"/>
      <c r="B64" s="63"/>
      <c r="C64" s="63"/>
      <c r="D64" s="63"/>
      <c r="E64" s="63"/>
      <c r="F64" s="63"/>
      <c r="G64" s="63"/>
      <c r="H64" s="63"/>
      <c r="I64" s="63"/>
      <c r="J64" s="63"/>
      <c r="K64" s="63"/>
      <c r="L64" s="63"/>
      <c r="M64" s="63"/>
      <c r="N64" s="63"/>
      <c r="O64" s="63"/>
      <c r="P64" s="47"/>
      <c r="Q64" s="64"/>
      <c r="R64" s="64"/>
      <c r="S64" s="64"/>
      <c r="T64" s="64"/>
      <c r="U64" s="64"/>
      <c r="V64" s="64"/>
      <c r="W64" s="64"/>
      <c r="X64" s="64"/>
      <c r="Y64" s="64"/>
      <c r="Z64" s="64"/>
    </row>
    <row r="65" spans="1:26" ht="10.5" customHeight="1" x14ac:dyDescent="0.3">
      <c r="A65" s="64"/>
      <c r="B65" s="63"/>
      <c r="C65" s="63"/>
      <c r="D65" s="63"/>
      <c r="E65" s="63"/>
      <c r="F65" s="63"/>
      <c r="G65" s="63"/>
      <c r="H65" s="63"/>
      <c r="I65" s="63"/>
      <c r="J65" s="63"/>
      <c r="K65" s="63"/>
      <c r="L65" s="63"/>
      <c r="M65" s="63"/>
      <c r="N65" s="63"/>
      <c r="O65" s="63"/>
      <c r="P65" s="47"/>
      <c r="Q65" s="64"/>
      <c r="R65" s="64"/>
      <c r="S65" s="64"/>
      <c r="T65" s="64"/>
      <c r="U65" s="64"/>
      <c r="V65" s="64"/>
      <c r="W65" s="64"/>
      <c r="X65" s="64"/>
      <c r="Y65" s="64"/>
      <c r="Z65" s="64"/>
    </row>
    <row r="66" spans="1:26" ht="10.5" customHeight="1" x14ac:dyDescent="0.3">
      <c r="A66" s="64"/>
      <c r="B66" s="63"/>
      <c r="C66" s="63"/>
      <c r="D66" s="63"/>
      <c r="E66" s="63"/>
      <c r="F66" s="63"/>
      <c r="G66" s="63"/>
      <c r="H66" s="63"/>
      <c r="I66" s="63"/>
      <c r="J66" s="63"/>
      <c r="K66" s="63"/>
      <c r="L66" s="63"/>
      <c r="M66" s="63"/>
      <c r="N66" s="63"/>
      <c r="O66" s="63"/>
      <c r="P66" s="47"/>
      <c r="Q66" s="64"/>
      <c r="R66" s="64"/>
      <c r="S66" s="64"/>
      <c r="T66" s="64"/>
      <c r="U66" s="64"/>
      <c r="V66" s="64"/>
      <c r="W66" s="64"/>
      <c r="X66" s="64"/>
      <c r="Y66" s="64"/>
      <c r="Z66" s="64"/>
    </row>
    <row r="67" spans="1:26" ht="10.5" customHeight="1" x14ac:dyDescent="0.3">
      <c r="A67" s="64"/>
      <c r="B67" s="63"/>
      <c r="C67" s="63"/>
      <c r="D67" s="63"/>
      <c r="E67" s="63"/>
      <c r="F67" s="63"/>
      <c r="G67" s="63"/>
      <c r="H67" s="63"/>
      <c r="I67" s="63"/>
      <c r="J67" s="63"/>
      <c r="K67" s="63"/>
      <c r="L67" s="63"/>
      <c r="M67" s="63"/>
      <c r="N67" s="63"/>
      <c r="O67" s="63"/>
      <c r="P67" s="47"/>
      <c r="Q67" s="64"/>
      <c r="R67" s="64"/>
      <c r="S67" s="64"/>
      <c r="T67" s="64"/>
      <c r="U67" s="64"/>
      <c r="V67" s="64"/>
      <c r="W67" s="64"/>
      <c r="X67" s="64"/>
      <c r="Y67" s="64"/>
      <c r="Z67" s="64"/>
    </row>
    <row r="68" spans="1:26" ht="10.5" customHeight="1" x14ac:dyDescent="0.3">
      <c r="A68" s="64"/>
      <c r="B68" s="63"/>
      <c r="C68" s="63"/>
      <c r="D68" s="63"/>
      <c r="E68" s="63"/>
      <c r="F68" s="63"/>
      <c r="G68" s="63"/>
      <c r="H68" s="63"/>
      <c r="I68" s="63"/>
      <c r="J68" s="63"/>
      <c r="K68" s="63"/>
      <c r="L68" s="63"/>
      <c r="M68" s="63"/>
      <c r="N68" s="63"/>
      <c r="O68" s="63"/>
      <c r="P68" s="47"/>
      <c r="Q68" s="64"/>
      <c r="R68" s="64"/>
      <c r="S68" s="64"/>
      <c r="T68" s="64"/>
      <c r="U68" s="64"/>
      <c r="V68" s="64"/>
      <c r="W68" s="64"/>
      <c r="X68" s="64"/>
      <c r="Y68" s="64"/>
      <c r="Z68" s="64"/>
    </row>
    <row r="69" spans="1:26" ht="10.5" customHeight="1" x14ac:dyDescent="0.3">
      <c r="A69" s="64"/>
      <c r="B69" s="63"/>
      <c r="C69" s="63"/>
      <c r="D69" s="63"/>
      <c r="E69" s="63"/>
      <c r="F69" s="63"/>
      <c r="G69" s="63"/>
      <c r="H69" s="63"/>
      <c r="I69" s="63"/>
      <c r="J69" s="63"/>
      <c r="K69" s="63"/>
      <c r="L69" s="63"/>
      <c r="M69" s="63"/>
      <c r="N69" s="63"/>
      <c r="O69" s="63"/>
      <c r="P69" s="47"/>
      <c r="Q69" s="64"/>
      <c r="R69" s="64"/>
      <c r="S69" s="64"/>
      <c r="T69" s="64"/>
      <c r="U69" s="64"/>
      <c r="V69" s="64"/>
      <c r="W69" s="64"/>
      <c r="X69" s="64"/>
      <c r="Y69" s="64"/>
      <c r="Z69" s="64"/>
    </row>
    <row r="70" spans="1:26" ht="10.5" customHeight="1" x14ac:dyDescent="0.3">
      <c r="A70" s="64"/>
      <c r="B70" s="63"/>
      <c r="C70" s="63"/>
      <c r="D70" s="63"/>
      <c r="E70" s="63"/>
      <c r="F70" s="63"/>
      <c r="G70" s="63"/>
      <c r="H70" s="63"/>
      <c r="I70" s="63"/>
      <c r="J70" s="63"/>
      <c r="K70" s="63"/>
      <c r="L70" s="63"/>
      <c r="M70" s="63"/>
      <c r="N70" s="63"/>
      <c r="O70" s="63"/>
      <c r="P70" s="47"/>
      <c r="Q70" s="64"/>
      <c r="R70" s="64"/>
      <c r="S70" s="64"/>
      <c r="T70" s="64"/>
      <c r="U70" s="64"/>
      <c r="V70" s="64"/>
      <c r="W70" s="64"/>
      <c r="X70" s="64"/>
      <c r="Y70" s="64"/>
      <c r="Z70" s="64"/>
    </row>
    <row r="71" spans="1:26" ht="10.5" customHeight="1" x14ac:dyDescent="0.3">
      <c r="A71" s="64"/>
      <c r="B71" s="63"/>
      <c r="C71" s="63"/>
      <c r="D71" s="63"/>
      <c r="E71" s="63"/>
      <c r="F71" s="63"/>
      <c r="G71" s="63"/>
      <c r="H71" s="63"/>
      <c r="I71" s="63"/>
      <c r="J71" s="63"/>
      <c r="K71" s="63"/>
      <c r="L71" s="63"/>
      <c r="M71" s="63"/>
      <c r="N71" s="63"/>
      <c r="O71" s="63"/>
      <c r="P71" s="47"/>
      <c r="Q71" s="64"/>
      <c r="R71" s="64"/>
      <c r="S71" s="64"/>
      <c r="T71" s="64"/>
      <c r="U71" s="64"/>
      <c r="V71" s="64"/>
      <c r="W71" s="64"/>
      <c r="X71" s="64"/>
      <c r="Y71" s="64"/>
      <c r="Z71" s="64"/>
    </row>
    <row r="72" spans="1:26" ht="10.5" customHeight="1" x14ac:dyDescent="0.3">
      <c r="A72" s="64"/>
      <c r="B72" s="63"/>
      <c r="C72" s="63"/>
      <c r="D72" s="63"/>
      <c r="E72" s="63"/>
      <c r="F72" s="63"/>
      <c r="G72" s="63"/>
      <c r="H72" s="63"/>
      <c r="I72" s="63"/>
      <c r="J72" s="63"/>
      <c r="K72" s="63"/>
      <c r="L72" s="63"/>
      <c r="M72" s="63"/>
      <c r="N72" s="63"/>
      <c r="O72" s="63"/>
      <c r="P72" s="47"/>
      <c r="Q72" s="64"/>
      <c r="R72" s="64"/>
      <c r="S72" s="64"/>
      <c r="T72" s="64"/>
      <c r="U72" s="64"/>
      <c r="V72" s="64"/>
      <c r="W72" s="64"/>
      <c r="X72" s="64"/>
      <c r="Y72" s="64"/>
      <c r="Z72" s="64"/>
    </row>
    <row r="73" spans="1:26" ht="10.5" customHeight="1" x14ac:dyDescent="0.3">
      <c r="A73" s="64"/>
      <c r="B73" s="63"/>
      <c r="C73" s="63"/>
      <c r="D73" s="63"/>
      <c r="E73" s="63"/>
      <c r="F73" s="63"/>
      <c r="G73" s="63"/>
      <c r="H73" s="63"/>
      <c r="I73" s="63"/>
      <c r="J73" s="63"/>
      <c r="K73" s="63"/>
      <c r="L73" s="63"/>
      <c r="M73" s="63"/>
      <c r="N73" s="63"/>
      <c r="O73" s="63"/>
      <c r="P73" s="47"/>
      <c r="Q73" s="64"/>
      <c r="R73" s="64"/>
      <c r="S73" s="64"/>
      <c r="T73" s="64"/>
      <c r="U73" s="64"/>
      <c r="V73" s="64"/>
      <c r="W73" s="64"/>
      <c r="X73" s="64"/>
      <c r="Y73" s="64"/>
      <c r="Z73" s="64"/>
    </row>
    <row r="74" spans="1:26" ht="10.5" customHeight="1" x14ac:dyDescent="0.3">
      <c r="A74" s="64"/>
      <c r="B74" s="63"/>
      <c r="C74" s="63"/>
      <c r="D74" s="63"/>
      <c r="E74" s="63"/>
      <c r="F74" s="63"/>
      <c r="G74" s="63"/>
      <c r="H74" s="63"/>
      <c r="I74" s="63"/>
      <c r="J74" s="63"/>
      <c r="K74" s="63"/>
      <c r="L74" s="63"/>
      <c r="M74" s="63"/>
      <c r="N74" s="63"/>
      <c r="O74" s="63"/>
      <c r="P74" s="47"/>
      <c r="Q74" s="64"/>
      <c r="R74" s="64"/>
      <c r="S74" s="64"/>
      <c r="T74" s="64"/>
      <c r="U74" s="64"/>
      <c r="V74" s="64"/>
      <c r="W74" s="64"/>
      <c r="X74" s="64"/>
      <c r="Y74" s="64"/>
      <c r="Z74" s="64"/>
    </row>
    <row r="75" spans="1:26" ht="10.5" customHeight="1" x14ac:dyDescent="0.3">
      <c r="A75" s="64"/>
      <c r="B75" s="63"/>
      <c r="C75" s="63"/>
      <c r="D75" s="63"/>
      <c r="E75" s="63"/>
      <c r="F75" s="63"/>
      <c r="G75" s="63"/>
      <c r="H75" s="63"/>
      <c r="I75" s="63"/>
      <c r="J75" s="63"/>
      <c r="K75" s="63"/>
      <c r="L75" s="63"/>
      <c r="M75" s="63"/>
      <c r="N75" s="63"/>
      <c r="O75" s="63"/>
      <c r="P75" s="47"/>
      <c r="Q75" s="64"/>
      <c r="R75" s="64"/>
      <c r="S75" s="64"/>
      <c r="T75" s="64"/>
      <c r="U75" s="64"/>
      <c r="V75" s="64"/>
      <c r="W75" s="64"/>
      <c r="X75" s="64"/>
      <c r="Y75" s="64"/>
      <c r="Z75" s="64"/>
    </row>
    <row r="76" spans="1:26" ht="10.5" customHeight="1" x14ac:dyDescent="0.3">
      <c r="A76" s="64"/>
      <c r="B76" s="63"/>
      <c r="C76" s="63"/>
      <c r="D76" s="63"/>
      <c r="E76" s="63"/>
      <c r="F76" s="63"/>
      <c r="G76" s="63"/>
      <c r="H76" s="63"/>
      <c r="I76" s="63"/>
      <c r="J76" s="63"/>
      <c r="K76" s="63"/>
      <c r="L76" s="63"/>
      <c r="M76" s="63"/>
      <c r="N76" s="63"/>
      <c r="O76" s="63"/>
      <c r="P76" s="47"/>
      <c r="Q76" s="64"/>
      <c r="R76" s="64"/>
      <c r="S76" s="64"/>
      <c r="T76" s="64"/>
      <c r="U76" s="64"/>
      <c r="V76" s="64"/>
      <c r="W76" s="64"/>
      <c r="X76" s="64"/>
      <c r="Y76" s="64"/>
      <c r="Z76" s="64"/>
    </row>
    <row r="77" spans="1:26" ht="10.5" customHeight="1" x14ac:dyDescent="0.3">
      <c r="A77" s="64"/>
      <c r="B77" s="63"/>
      <c r="C77" s="63"/>
      <c r="D77" s="63"/>
      <c r="E77" s="63"/>
      <c r="F77" s="63"/>
      <c r="G77" s="63"/>
      <c r="H77" s="63"/>
      <c r="I77" s="63"/>
      <c r="J77" s="63"/>
      <c r="K77" s="63"/>
      <c r="L77" s="63"/>
      <c r="M77" s="63"/>
      <c r="N77" s="63"/>
      <c r="O77" s="63"/>
      <c r="P77" s="47"/>
      <c r="Q77" s="64"/>
      <c r="R77" s="64"/>
      <c r="S77" s="64"/>
      <c r="T77" s="64"/>
      <c r="U77" s="64"/>
      <c r="V77" s="64"/>
      <c r="W77" s="64"/>
      <c r="X77" s="64"/>
      <c r="Y77" s="64"/>
      <c r="Z77" s="64"/>
    </row>
    <row r="78" spans="1:26" ht="10.5" customHeight="1" x14ac:dyDescent="0.3">
      <c r="A78" s="64"/>
      <c r="B78" s="63"/>
      <c r="C78" s="63"/>
      <c r="D78" s="63"/>
      <c r="E78" s="63"/>
      <c r="F78" s="63"/>
      <c r="G78" s="63"/>
      <c r="H78" s="63"/>
      <c r="I78" s="63"/>
      <c r="J78" s="63"/>
      <c r="K78" s="63"/>
      <c r="L78" s="63"/>
      <c r="M78" s="63"/>
      <c r="N78" s="63"/>
      <c r="O78" s="63"/>
      <c r="P78" s="47"/>
      <c r="Q78" s="64"/>
      <c r="R78" s="64"/>
      <c r="S78" s="64"/>
      <c r="T78" s="64"/>
      <c r="U78" s="64"/>
      <c r="V78" s="64"/>
      <c r="W78" s="64"/>
      <c r="X78" s="64"/>
      <c r="Y78" s="64"/>
      <c r="Z78" s="64"/>
    </row>
    <row r="79" spans="1:26" ht="10.5" customHeight="1" x14ac:dyDescent="0.3">
      <c r="A79" s="64"/>
      <c r="B79" s="63"/>
      <c r="C79" s="63"/>
      <c r="D79" s="63"/>
      <c r="E79" s="63"/>
      <c r="F79" s="63"/>
      <c r="G79" s="63"/>
      <c r="H79" s="63"/>
      <c r="I79" s="63"/>
      <c r="J79" s="63"/>
      <c r="K79" s="63"/>
      <c r="L79" s="63"/>
      <c r="M79" s="63"/>
      <c r="N79" s="63"/>
      <c r="O79" s="63"/>
      <c r="P79" s="47"/>
      <c r="Q79" s="64"/>
      <c r="R79" s="64"/>
      <c r="S79" s="64"/>
      <c r="T79" s="64"/>
      <c r="U79" s="64"/>
      <c r="V79" s="64"/>
      <c r="W79" s="64"/>
      <c r="X79" s="64"/>
      <c r="Y79" s="64"/>
      <c r="Z79" s="64"/>
    </row>
    <row r="80" spans="1:26" ht="10.5" customHeight="1" x14ac:dyDescent="0.3">
      <c r="A80" s="64"/>
      <c r="B80" s="63"/>
      <c r="C80" s="63"/>
      <c r="D80" s="63"/>
      <c r="E80" s="63"/>
      <c r="F80" s="63"/>
      <c r="G80" s="63"/>
      <c r="H80" s="63"/>
      <c r="I80" s="63"/>
      <c r="J80" s="63"/>
      <c r="K80" s="63"/>
      <c r="L80" s="63"/>
      <c r="M80" s="63"/>
      <c r="N80" s="63"/>
      <c r="O80" s="63"/>
      <c r="P80" s="47"/>
      <c r="Q80" s="64"/>
      <c r="R80" s="64"/>
      <c r="S80" s="64"/>
      <c r="T80" s="64"/>
      <c r="U80" s="64"/>
      <c r="V80" s="64"/>
      <c r="W80" s="64"/>
      <c r="X80" s="64"/>
      <c r="Y80" s="64"/>
      <c r="Z80" s="64"/>
    </row>
    <row r="81" spans="1:26" ht="10.5" customHeight="1" x14ac:dyDescent="0.3">
      <c r="A81" s="64"/>
      <c r="B81" s="63"/>
      <c r="C81" s="63"/>
      <c r="D81" s="63"/>
      <c r="E81" s="63"/>
      <c r="F81" s="63"/>
      <c r="G81" s="63"/>
      <c r="H81" s="63"/>
      <c r="I81" s="63"/>
      <c r="J81" s="63"/>
      <c r="K81" s="63"/>
      <c r="L81" s="63"/>
      <c r="M81" s="63"/>
      <c r="N81" s="63"/>
      <c r="O81" s="63"/>
      <c r="P81" s="47"/>
      <c r="Q81" s="64"/>
      <c r="R81" s="64"/>
      <c r="S81" s="64"/>
      <c r="T81" s="64"/>
      <c r="U81" s="64"/>
      <c r="V81" s="64"/>
      <c r="W81" s="64"/>
      <c r="X81" s="64"/>
      <c r="Y81" s="64"/>
      <c r="Z81" s="64"/>
    </row>
    <row r="82" spans="1:26" ht="10.5" customHeight="1" x14ac:dyDescent="0.3">
      <c r="A82" s="64"/>
      <c r="B82" s="63"/>
      <c r="C82" s="63"/>
      <c r="D82" s="63"/>
      <c r="E82" s="63"/>
      <c r="F82" s="63"/>
      <c r="G82" s="63"/>
      <c r="H82" s="63"/>
      <c r="I82" s="63"/>
      <c r="J82" s="63"/>
      <c r="K82" s="63"/>
      <c r="L82" s="63"/>
      <c r="M82" s="63"/>
      <c r="N82" s="63"/>
      <c r="O82" s="63"/>
      <c r="P82" s="47"/>
      <c r="Q82" s="64"/>
      <c r="R82" s="64"/>
      <c r="S82" s="64"/>
      <c r="T82" s="64"/>
      <c r="U82" s="64"/>
      <c r="V82" s="64"/>
      <c r="W82" s="64"/>
      <c r="X82" s="64"/>
      <c r="Y82" s="64"/>
      <c r="Z82" s="64"/>
    </row>
    <row r="83" spans="1:26" ht="10.5" customHeight="1" x14ac:dyDescent="0.3">
      <c r="A83" s="64"/>
      <c r="B83" s="63"/>
      <c r="C83" s="63"/>
      <c r="D83" s="63"/>
      <c r="E83" s="63"/>
      <c r="F83" s="63"/>
      <c r="G83" s="63"/>
      <c r="H83" s="63"/>
      <c r="I83" s="63"/>
      <c r="J83" s="63"/>
      <c r="K83" s="63"/>
      <c r="L83" s="63"/>
      <c r="M83" s="63"/>
      <c r="N83" s="63"/>
      <c r="O83" s="63"/>
      <c r="P83" s="47"/>
      <c r="Q83" s="64"/>
      <c r="R83" s="64"/>
      <c r="S83" s="64"/>
      <c r="T83" s="64"/>
      <c r="U83" s="64"/>
      <c r="V83" s="64"/>
      <c r="W83" s="64"/>
      <c r="X83" s="64"/>
      <c r="Y83" s="64"/>
      <c r="Z83" s="64"/>
    </row>
    <row r="84" spans="1:26" ht="10.5" customHeight="1" x14ac:dyDescent="0.3">
      <c r="A84" s="64"/>
      <c r="B84" s="63"/>
      <c r="C84" s="63"/>
      <c r="D84" s="63"/>
      <c r="E84" s="63"/>
      <c r="F84" s="63"/>
      <c r="G84" s="63"/>
      <c r="H84" s="63"/>
      <c r="I84" s="63"/>
      <c r="J84" s="63"/>
      <c r="K84" s="63"/>
      <c r="L84" s="63"/>
      <c r="M84" s="63"/>
      <c r="N84" s="63"/>
      <c r="O84" s="63"/>
      <c r="P84" s="47"/>
      <c r="Q84" s="64"/>
      <c r="R84" s="64"/>
      <c r="S84" s="64"/>
      <c r="T84" s="64"/>
      <c r="U84" s="64"/>
      <c r="V84" s="64"/>
      <c r="W84" s="64"/>
      <c r="X84" s="64"/>
      <c r="Y84" s="64"/>
      <c r="Z84" s="64"/>
    </row>
    <row r="85" spans="1:26" ht="10.5" customHeight="1" x14ac:dyDescent="0.3">
      <c r="A85" s="64"/>
      <c r="B85" s="63"/>
      <c r="C85" s="63"/>
      <c r="D85" s="63"/>
      <c r="E85" s="63"/>
      <c r="F85" s="63"/>
      <c r="G85" s="63"/>
      <c r="H85" s="63"/>
      <c r="I85" s="63"/>
      <c r="J85" s="63"/>
      <c r="K85" s="63"/>
      <c r="L85" s="63"/>
      <c r="M85" s="63"/>
      <c r="N85" s="63"/>
      <c r="O85" s="63"/>
      <c r="P85" s="47"/>
      <c r="Q85" s="64"/>
      <c r="R85" s="64"/>
      <c r="S85" s="64"/>
      <c r="T85" s="64"/>
      <c r="U85" s="64"/>
      <c r="V85" s="64"/>
      <c r="W85" s="64"/>
      <c r="X85" s="64"/>
      <c r="Y85" s="64"/>
      <c r="Z85" s="64"/>
    </row>
    <row r="86" spans="1:26" ht="10.5" customHeight="1" x14ac:dyDescent="0.3">
      <c r="A86" s="64"/>
      <c r="B86" s="63"/>
      <c r="C86" s="63"/>
      <c r="D86" s="63"/>
      <c r="E86" s="63"/>
      <c r="F86" s="63"/>
      <c r="G86" s="63"/>
      <c r="H86" s="63"/>
      <c r="I86" s="63"/>
      <c r="J86" s="63"/>
      <c r="K86" s="63"/>
      <c r="L86" s="63"/>
      <c r="M86" s="63"/>
      <c r="N86" s="63"/>
      <c r="O86" s="63"/>
      <c r="P86" s="47"/>
      <c r="Q86" s="64"/>
      <c r="R86" s="64"/>
      <c r="S86" s="64"/>
      <c r="T86" s="64"/>
      <c r="U86" s="64"/>
      <c r="V86" s="64"/>
      <c r="W86" s="64"/>
      <c r="X86" s="64"/>
      <c r="Y86" s="64"/>
      <c r="Z86" s="64"/>
    </row>
    <row r="87" spans="1:26" ht="10.5" customHeight="1" x14ac:dyDescent="0.3">
      <c r="A87" s="64"/>
      <c r="B87" s="63"/>
      <c r="C87" s="63"/>
      <c r="D87" s="63"/>
      <c r="E87" s="63"/>
      <c r="F87" s="63"/>
      <c r="G87" s="63"/>
      <c r="H87" s="63"/>
      <c r="I87" s="63"/>
      <c r="J87" s="63"/>
      <c r="K87" s="63"/>
      <c r="L87" s="63"/>
      <c r="M87" s="63"/>
      <c r="N87" s="63"/>
      <c r="O87" s="63"/>
      <c r="P87" s="47"/>
      <c r="Q87" s="64"/>
      <c r="R87" s="64"/>
      <c r="S87" s="64"/>
      <c r="T87" s="64"/>
      <c r="U87" s="64"/>
      <c r="V87" s="64"/>
      <c r="W87" s="64"/>
      <c r="X87" s="64"/>
      <c r="Y87" s="64"/>
      <c r="Z87" s="64"/>
    </row>
    <row r="88" spans="1:26" ht="10.5" customHeight="1" x14ac:dyDescent="0.3">
      <c r="A88" s="64"/>
      <c r="B88" s="63"/>
      <c r="C88" s="63"/>
      <c r="D88" s="63"/>
      <c r="E88" s="63"/>
      <c r="F88" s="63"/>
      <c r="G88" s="63"/>
      <c r="H88" s="63"/>
      <c r="I88" s="63"/>
      <c r="J88" s="63"/>
      <c r="K88" s="63"/>
      <c r="L88" s="63"/>
      <c r="M88" s="63"/>
      <c r="N88" s="63"/>
      <c r="O88" s="63"/>
      <c r="P88" s="47"/>
      <c r="Q88" s="64"/>
      <c r="R88" s="64"/>
      <c r="S88" s="64"/>
      <c r="T88" s="64"/>
      <c r="U88" s="64"/>
      <c r="V88" s="64"/>
      <c r="W88" s="64"/>
      <c r="X88" s="64"/>
      <c r="Y88" s="64"/>
      <c r="Z88" s="64"/>
    </row>
    <row r="89" spans="1:26" ht="10.5" customHeight="1" x14ac:dyDescent="0.3">
      <c r="A89" s="64"/>
      <c r="B89" s="63"/>
      <c r="C89" s="63"/>
      <c r="D89" s="63"/>
      <c r="E89" s="63"/>
      <c r="F89" s="63"/>
      <c r="G89" s="63"/>
      <c r="H89" s="63"/>
      <c r="I89" s="63"/>
      <c r="J89" s="63"/>
      <c r="K89" s="63"/>
      <c r="L89" s="63"/>
      <c r="M89" s="63"/>
      <c r="N89" s="63"/>
      <c r="O89" s="63"/>
      <c r="P89" s="47"/>
      <c r="Q89" s="64"/>
      <c r="R89" s="64"/>
      <c r="S89" s="64"/>
      <c r="T89" s="64"/>
      <c r="U89" s="64"/>
      <c r="V89" s="64"/>
      <c r="W89" s="64"/>
      <c r="X89" s="64"/>
      <c r="Y89" s="64"/>
      <c r="Z89" s="64"/>
    </row>
    <row r="90" spans="1:26" ht="10.5" customHeight="1" x14ac:dyDescent="0.3">
      <c r="A90" s="64"/>
      <c r="B90" s="63"/>
      <c r="C90" s="63"/>
      <c r="D90" s="63"/>
      <c r="E90" s="63"/>
      <c r="F90" s="63"/>
      <c r="G90" s="63"/>
      <c r="H90" s="63"/>
      <c r="I90" s="63"/>
      <c r="J90" s="63"/>
      <c r="K90" s="63"/>
      <c r="L90" s="63"/>
      <c r="M90" s="63"/>
      <c r="N90" s="63"/>
      <c r="O90" s="63"/>
      <c r="P90" s="47"/>
      <c r="Q90" s="64"/>
      <c r="R90" s="64"/>
      <c r="S90" s="64"/>
      <c r="T90" s="64"/>
      <c r="U90" s="64"/>
      <c r="V90" s="64"/>
      <c r="W90" s="64"/>
      <c r="X90" s="64"/>
      <c r="Y90" s="64"/>
      <c r="Z90" s="64"/>
    </row>
    <row r="91" spans="1:26" ht="10.5" customHeight="1" x14ac:dyDescent="0.3">
      <c r="A91" s="64"/>
      <c r="B91" s="63"/>
      <c r="C91" s="63"/>
      <c r="D91" s="63"/>
      <c r="E91" s="63"/>
      <c r="F91" s="63"/>
      <c r="G91" s="63"/>
      <c r="H91" s="63"/>
      <c r="I91" s="63"/>
      <c r="J91" s="63"/>
      <c r="K91" s="63"/>
      <c r="L91" s="63"/>
      <c r="M91" s="63"/>
      <c r="N91" s="63"/>
      <c r="O91" s="63"/>
      <c r="P91" s="47"/>
      <c r="Q91" s="64"/>
      <c r="R91" s="64"/>
      <c r="S91" s="64"/>
      <c r="T91" s="64"/>
      <c r="U91" s="64"/>
      <c r="V91" s="64"/>
      <c r="W91" s="64"/>
      <c r="X91" s="64"/>
      <c r="Y91" s="64"/>
      <c r="Z91" s="64"/>
    </row>
    <row r="92" spans="1:26" ht="10.5" customHeight="1" x14ac:dyDescent="0.3">
      <c r="A92" s="64"/>
      <c r="B92" s="63"/>
      <c r="C92" s="63"/>
      <c r="D92" s="63"/>
      <c r="E92" s="63"/>
      <c r="F92" s="63"/>
      <c r="G92" s="63"/>
      <c r="H92" s="63"/>
      <c r="I92" s="63"/>
      <c r="J92" s="63"/>
      <c r="K92" s="63"/>
      <c r="L92" s="63"/>
      <c r="M92" s="63"/>
      <c r="N92" s="63"/>
      <c r="O92" s="63"/>
      <c r="P92" s="47"/>
      <c r="Q92" s="64"/>
      <c r="R92" s="64"/>
      <c r="S92" s="64"/>
      <c r="T92" s="64"/>
      <c r="U92" s="64"/>
      <c r="V92" s="64"/>
      <c r="W92" s="64"/>
      <c r="X92" s="64"/>
      <c r="Y92" s="64"/>
      <c r="Z92" s="64"/>
    </row>
    <row r="93" spans="1:26" ht="10.5" customHeight="1" x14ac:dyDescent="0.3">
      <c r="A93" s="64"/>
      <c r="B93" s="63"/>
      <c r="C93" s="63"/>
      <c r="D93" s="63"/>
      <c r="E93" s="63"/>
      <c r="F93" s="63"/>
      <c r="G93" s="63"/>
      <c r="H93" s="63"/>
      <c r="I93" s="63"/>
      <c r="J93" s="63"/>
      <c r="K93" s="63"/>
      <c r="L93" s="63"/>
      <c r="M93" s="63"/>
      <c r="N93" s="63"/>
      <c r="O93" s="63"/>
      <c r="P93" s="47"/>
      <c r="Q93" s="64"/>
      <c r="R93" s="64"/>
      <c r="S93" s="64"/>
      <c r="T93" s="64"/>
      <c r="U93" s="64"/>
      <c r="V93" s="64"/>
      <c r="W93" s="64"/>
      <c r="X93" s="64"/>
      <c r="Y93" s="64"/>
      <c r="Z93" s="64"/>
    </row>
    <row r="94" spans="1:26" ht="10.5" customHeight="1" x14ac:dyDescent="0.3">
      <c r="A94" s="64"/>
      <c r="B94" s="63"/>
      <c r="C94" s="63"/>
      <c r="D94" s="63"/>
      <c r="E94" s="63"/>
      <c r="F94" s="63"/>
      <c r="G94" s="63"/>
      <c r="H94" s="63"/>
      <c r="I94" s="63"/>
      <c r="J94" s="63"/>
      <c r="K94" s="63"/>
      <c r="L94" s="63"/>
      <c r="M94" s="63"/>
      <c r="N94" s="63"/>
      <c r="O94" s="63"/>
      <c r="P94" s="47"/>
      <c r="Q94" s="64"/>
      <c r="R94" s="64"/>
      <c r="S94" s="64"/>
      <c r="T94" s="64"/>
      <c r="U94" s="64"/>
      <c r="V94" s="64"/>
      <c r="W94" s="64"/>
      <c r="X94" s="64"/>
      <c r="Y94" s="64"/>
      <c r="Z94" s="64"/>
    </row>
    <row r="95" spans="1:26" ht="10.5" customHeight="1" x14ac:dyDescent="0.3">
      <c r="A95" s="64"/>
      <c r="B95" s="63"/>
      <c r="C95" s="63"/>
      <c r="D95" s="63"/>
      <c r="E95" s="63"/>
      <c r="F95" s="63"/>
      <c r="G95" s="63"/>
      <c r="H95" s="63"/>
      <c r="I95" s="63"/>
      <c r="J95" s="63"/>
      <c r="K95" s="63"/>
      <c r="L95" s="63"/>
      <c r="M95" s="63"/>
      <c r="N95" s="63"/>
      <c r="O95" s="63"/>
      <c r="P95" s="47"/>
      <c r="Q95" s="64"/>
      <c r="R95" s="64"/>
      <c r="S95" s="64"/>
      <c r="T95" s="64"/>
      <c r="U95" s="64"/>
      <c r="V95" s="64"/>
      <c r="W95" s="64"/>
      <c r="X95" s="64"/>
      <c r="Y95" s="64"/>
      <c r="Z95" s="64"/>
    </row>
    <row r="96" spans="1:26" ht="10.5" customHeight="1" x14ac:dyDescent="0.3">
      <c r="A96" s="64"/>
      <c r="B96" s="63"/>
      <c r="C96" s="63"/>
      <c r="D96" s="63"/>
      <c r="E96" s="63"/>
      <c r="F96" s="63"/>
      <c r="G96" s="63"/>
      <c r="H96" s="63"/>
      <c r="I96" s="63"/>
      <c r="J96" s="63"/>
      <c r="K96" s="63"/>
      <c r="L96" s="63"/>
      <c r="M96" s="63"/>
      <c r="N96" s="63"/>
      <c r="O96" s="63"/>
      <c r="P96" s="47"/>
      <c r="Q96" s="64"/>
      <c r="R96" s="64"/>
      <c r="S96" s="64"/>
      <c r="T96" s="64"/>
      <c r="U96" s="64"/>
      <c r="V96" s="64"/>
      <c r="W96" s="64"/>
      <c r="X96" s="64"/>
      <c r="Y96" s="64"/>
      <c r="Z96" s="64"/>
    </row>
    <row r="97" spans="1:26" ht="10.5" customHeight="1" x14ac:dyDescent="0.3">
      <c r="A97" s="64"/>
      <c r="B97" s="63"/>
      <c r="C97" s="63"/>
      <c r="D97" s="63"/>
      <c r="E97" s="63"/>
      <c r="F97" s="63"/>
      <c r="G97" s="63"/>
      <c r="H97" s="63"/>
      <c r="I97" s="63"/>
      <c r="J97" s="63"/>
      <c r="K97" s="63"/>
      <c r="L97" s="63"/>
      <c r="M97" s="63"/>
      <c r="N97" s="63"/>
      <c r="O97" s="63"/>
      <c r="P97" s="47"/>
      <c r="Q97" s="64"/>
      <c r="R97" s="64"/>
      <c r="S97" s="64"/>
      <c r="T97" s="64"/>
      <c r="U97" s="64"/>
      <c r="V97" s="64"/>
      <c r="W97" s="64"/>
      <c r="X97" s="64"/>
      <c r="Y97" s="64"/>
      <c r="Z97" s="64"/>
    </row>
    <row r="98" spans="1:26" ht="10.5" customHeight="1" x14ac:dyDescent="0.3">
      <c r="A98" s="64"/>
      <c r="B98" s="63"/>
      <c r="C98" s="63"/>
      <c r="D98" s="63"/>
      <c r="E98" s="63"/>
      <c r="F98" s="63"/>
      <c r="G98" s="63"/>
      <c r="H98" s="63"/>
      <c r="I98" s="63"/>
      <c r="J98" s="63"/>
      <c r="K98" s="63"/>
      <c r="L98" s="63"/>
      <c r="M98" s="63"/>
      <c r="N98" s="63"/>
      <c r="O98" s="63"/>
      <c r="P98" s="47"/>
      <c r="Q98" s="64"/>
      <c r="R98" s="64"/>
      <c r="S98" s="64"/>
      <c r="T98" s="64"/>
      <c r="U98" s="64"/>
      <c r="V98" s="64"/>
      <c r="W98" s="64"/>
      <c r="X98" s="64"/>
      <c r="Y98" s="64"/>
      <c r="Z98" s="64"/>
    </row>
    <row r="99" spans="1:26" ht="10.5" customHeight="1" x14ac:dyDescent="0.3">
      <c r="A99" s="64"/>
      <c r="B99" s="63"/>
      <c r="C99" s="63"/>
      <c r="D99" s="63"/>
      <c r="E99" s="63"/>
      <c r="F99" s="63"/>
      <c r="G99" s="63"/>
      <c r="H99" s="63"/>
      <c r="I99" s="63"/>
      <c r="J99" s="63"/>
      <c r="K99" s="63"/>
      <c r="L99" s="63"/>
      <c r="M99" s="63"/>
      <c r="N99" s="63"/>
      <c r="O99" s="63"/>
      <c r="P99" s="47"/>
      <c r="Q99" s="64"/>
      <c r="R99" s="64"/>
      <c r="S99" s="64"/>
      <c r="T99" s="64"/>
      <c r="U99" s="64"/>
      <c r="V99" s="64"/>
      <c r="W99" s="64"/>
      <c r="X99" s="64"/>
      <c r="Y99" s="64"/>
      <c r="Z99" s="64"/>
    </row>
    <row r="100" spans="1:26" ht="10.5" customHeight="1" x14ac:dyDescent="0.3">
      <c r="A100" s="64"/>
      <c r="B100" s="63"/>
      <c r="C100" s="63"/>
      <c r="D100" s="63"/>
      <c r="E100" s="63"/>
      <c r="F100" s="63"/>
      <c r="G100" s="63"/>
      <c r="H100" s="63"/>
      <c r="I100" s="63"/>
      <c r="J100" s="63"/>
      <c r="K100" s="63"/>
      <c r="L100" s="63"/>
      <c r="M100" s="63"/>
      <c r="N100" s="63"/>
      <c r="O100" s="63"/>
      <c r="P100" s="47"/>
      <c r="Q100" s="64"/>
      <c r="R100" s="64"/>
      <c r="S100" s="64"/>
      <c r="T100" s="64"/>
      <c r="U100" s="64"/>
      <c r="V100" s="64"/>
      <c r="W100" s="64"/>
      <c r="X100" s="64"/>
      <c r="Y100" s="64"/>
      <c r="Z100" s="64"/>
    </row>
    <row r="101" spans="1:26" ht="10.5" customHeight="1" x14ac:dyDescent="0.3">
      <c r="A101" s="64"/>
      <c r="B101" s="63"/>
      <c r="C101" s="63"/>
      <c r="D101" s="63"/>
      <c r="E101" s="63"/>
      <c r="F101" s="63"/>
      <c r="G101" s="63"/>
      <c r="H101" s="63"/>
      <c r="I101" s="63"/>
      <c r="J101" s="63"/>
      <c r="K101" s="63"/>
      <c r="L101" s="63"/>
      <c r="M101" s="63"/>
      <c r="N101" s="63"/>
      <c r="O101" s="63"/>
      <c r="P101" s="47"/>
      <c r="Q101" s="64"/>
      <c r="R101" s="64"/>
      <c r="S101" s="64"/>
      <c r="T101" s="64"/>
      <c r="U101" s="64"/>
      <c r="V101" s="64"/>
      <c r="W101" s="64"/>
      <c r="X101" s="64"/>
      <c r="Y101" s="64"/>
      <c r="Z101" s="64"/>
    </row>
    <row r="102" spans="1:26" ht="10.5" customHeight="1" x14ac:dyDescent="0.3">
      <c r="A102" s="64"/>
      <c r="B102" s="63"/>
      <c r="C102" s="63"/>
      <c r="D102" s="63"/>
      <c r="E102" s="63"/>
      <c r="F102" s="63"/>
      <c r="G102" s="63"/>
      <c r="H102" s="63"/>
      <c r="I102" s="63"/>
      <c r="J102" s="63"/>
      <c r="K102" s="63"/>
      <c r="L102" s="63"/>
      <c r="M102" s="63"/>
      <c r="N102" s="63"/>
      <c r="O102" s="63"/>
      <c r="P102" s="47"/>
      <c r="Q102" s="64"/>
      <c r="R102" s="64"/>
      <c r="S102" s="64"/>
      <c r="T102" s="64"/>
      <c r="U102" s="64"/>
      <c r="V102" s="64"/>
      <c r="W102" s="64"/>
      <c r="X102" s="64"/>
      <c r="Y102" s="64"/>
      <c r="Z102" s="64"/>
    </row>
    <row r="103" spans="1:26" ht="10.5" customHeight="1" x14ac:dyDescent="0.3">
      <c r="A103" s="64"/>
      <c r="B103" s="63"/>
      <c r="C103" s="63"/>
      <c r="D103" s="63"/>
      <c r="E103" s="63"/>
      <c r="F103" s="63"/>
      <c r="G103" s="63"/>
      <c r="H103" s="63"/>
      <c r="I103" s="63"/>
      <c r="J103" s="63"/>
      <c r="K103" s="63"/>
      <c r="L103" s="63"/>
      <c r="M103" s="63"/>
      <c r="N103" s="63"/>
      <c r="O103" s="63"/>
      <c r="P103" s="47"/>
      <c r="Q103" s="64"/>
      <c r="R103" s="64"/>
      <c r="S103" s="64"/>
      <c r="T103" s="64"/>
      <c r="U103" s="64"/>
      <c r="V103" s="64"/>
      <c r="W103" s="64"/>
      <c r="X103" s="64"/>
      <c r="Y103" s="64"/>
      <c r="Z103" s="64"/>
    </row>
    <row r="104" spans="1:26" ht="10.5" customHeight="1" x14ac:dyDescent="0.3">
      <c r="A104" s="64"/>
      <c r="B104" s="63"/>
      <c r="C104" s="63"/>
      <c r="D104" s="63"/>
      <c r="E104" s="63"/>
      <c r="F104" s="63"/>
      <c r="G104" s="63"/>
      <c r="H104" s="63"/>
      <c r="I104" s="63"/>
      <c r="J104" s="63"/>
      <c r="K104" s="63"/>
      <c r="L104" s="63"/>
      <c r="M104" s="63"/>
      <c r="N104" s="63"/>
      <c r="O104" s="63"/>
      <c r="P104" s="47"/>
      <c r="Q104" s="64"/>
      <c r="R104" s="64"/>
      <c r="S104" s="64"/>
      <c r="T104" s="64"/>
      <c r="U104" s="64"/>
      <c r="V104" s="64"/>
      <c r="W104" s="64"/>
      <c r="X104" s="64"/>
      <c r="Y104" s="64"/>
      <c r="Z104" s="64"/>
    </row>
    <row r="105" spans="1:26" ht="10.5" customHeight="1" x14ac:dyDescent="0.3">
      <c r="A105" s="64"/>
      <c r="B105" s="63"/>
      <c r="C105" s="63"/>
      <c r="D105" s="63"/>
      <c r="E105" s="63"/>
      <c r="F105" s="63"/>
      <c r="G105" s="63"/>
      <c r="H105" s="63"/>
      <c r="I105" s="63"/>
      <c r="J105" s="63"/>
      <c r="K105" s="63"/>
      <c r="L105" s="63"/>
      <c r="M105" s="63"/>
      <c r="N105" s="63"/>
      <c r="O105" s="63"/>
      <c r="P105" s="47"/>
      <c r="Q105" s="64"/>
      <c r="R105" s="64"/>
      <c r="S105" s="64"/>
      <c r="T105" s="64"/>
      <c r="U105" s="64"/>
      <c r="V105" s="64"/>
      <c r="W105" s="64"/>
      <c r="X105" s="64"/>
      <c r="Y105" s="64"/>
      <c r="Z105" s="64"/>
    </row>
    <row r="106" spans="1:26" ht="10.5" customHeight="1" x14ac:dyDescent="0.3">
      <c r="A106" s="64"/>
      <c r="B106" s="63"/>
      <c r="C106" s="63"/>
      <c r="D106" s="63"/>
      <c r="E106" s="63"/>
      <c r="F106" s="63"/>
      <c r="G106" s="63"/>
      <c r="H106" s="63"/>
      <c r="I106" s="63"/>
      <c r="J106" s="63"/>
      <c r="K106" s="63"/>
      <c r="L106" s="63"/>
      <c r="M106" s="63"/>
      <c r="N106" s="63"/>
      <c r="O106" s="63"/>
      <c r="P106" s="47"/>
      <c r="Q106" s="64"/>
      <c r="R106" s="64"/>
      <c r="S106" s="64"/>
      <c r="T106" s="64"/>
      <c r="U106" s="64"/>
      <c r="V106" s="64"/>
      <c r="W106" s="64"/>
      <c r="X106" s="64"/>
      <c r="Y106" s="64"/>
      <c r="Z106" s="64"/>
    </row>
    <row r="107" spans="1:26" ht="10.5" customHeight="1" x14ac:dyDescent="0.3">
      <c r="A107" s="64"/>
      <c r="B107" s="63"/>
      <c r="C107" s="63"/>
      <c r="D107" s="63"/>
      <c r="E107" s="63"/>
      <c r="F107" s="63"/>
      <c r="G107" s="63"/>
      <c r="H107" s="63"/>
      <c r="I107" s="63"/>
      <c r="J107" s="63"/>
      <c r="K107" s="63"/>
      <c r="L107" s="63"/>
      <c r="M107" s="63"/>
      <c r="N107" s="63"/>
      <c r="O107" s="63"/>
      <c r="P107" s="47"/>
      <c r="Q107" s="64"/>
      <c r="R107" s="64"/>
      <c r="S107" s="64"/>
      <c r="T107" s="64"/>
      <c r="U107" s="64"/>
      <c r="V107" s="64"/>
      <c r="W107" s="64"/>
      <c r="X107" s="64"/>
      <c r="Y107" s="64"/>
      <c r="Z107" s="64"/>
    </row>
    <row r="108" spans="1:26" ht="10.5" customHeight="1" x14ac:dyDescent="0.3">
      <c r="A108" s="64"/>
      <c r="B108" s="63"/>
      <c r="C108" s="63"/>
      <c r="D108" s="63"/>
      <c r="E108" s="63"/>
      <c r="F108" s="63"/>
      <c r="G108" s="63"/>
      <c r="H108" s="63"/>
      <c r="I108" s="63"/>
      <c r="J108" s="63"/>
      <c r="K108" s="63"/>
      <c r="L108" s="63"/>
      <c r="M108" s="63"/>
      <c r="N108" s="63"/>
      <c r="O108" s="63"/>
      <c r="P108" s="47"/>
      <c r="Q108" s="64"/>
      <c r="R108" s="64"/>
      <c r="S108" s="64"/>
      <c r="T108" s="64"/>
      <c r="U108" s="64"/>
      <c r="V108" s="64"/>
      <c r="W108" s="64"/>
      <c r="X108" s="64"/>
      <c r="Y108" s="64"/>
      <c r="Z108" s="64"/>
    </row>
    <row r="109" spans="1:26" ht="10.5" customHeight="1" x14ac:dyDescent="0.3">
      <c r="A109" s="64"/>
      <c r="B109" s="63"/>
      <c r="C109" s="63"/>
      <c r="D109" s="63"/>
      <c r="E109" s="63"/>
      <c r="F109" s="63"/>
      <c r="G109" s="63"/>
      <c r="H109" s="63"/>
      <c r="I109" s="63"/>
      <c r="J109" s="63"/>
      <c r="K109" s="63"/>
      <c r="L109" s="63"/>
      <c r="M109" s="63"/>
      <c r="N109" s="63"/>
      <c r="O109" s="63"/>
      <c r="P109" s="47"/>
      <c r="Q109" s="64"/>
      <c r="R109" s="64"/>
      <c r="S109" s="64"/>
      <c r="T109" s="64"/>
      <c r="U109" s="64"/>
      <c r="V109" s="64"/>
      <c r="W109" s="64"/>
      <c r="X109" s="64"/>
      <c r="Y109" s="64"/>
      <c r="Z109" s="64"/>
    </row>
    <row r="110" spans="1:26" ht="10.5" customHeight="1" x14ac:dyDescent="0.3">
      <c r="A110" s="64"/>
      <c r="B110" s="63"/>
      <c r="C110" s="63"/>
      <c r="D110" s="63"/>
      <c r="E110" s="63"/>
      <c r="F110" s="63"/>
      <c r="G110" s="63"/>
      <c r="H110" s="63"/>
      <c r="I110" s="63"/>
      <c r="J110" s="63"/>
      <c r="K110" s="63"/>
      <c r="L110" s="63"/>
      <c r="M110" s="63"/>
      <c r="N110" s="63"/>
      <c r="O110" s="63"/>
      <c r="P110" s="47"/>
      <c r="Q110" s="64"/>
      <c r="R110" s="64"/>
      <c r="S110" s="64"/>
      <c r="T110" s="64"/>
      <c r="U110" s="64"/>
      <c r="V110" s="64"/>
      <c r="W110" s="64"/>
      <c r="X110" s="64"/>
      <c r="Y110" s="64"/>
      <c r="Z110" s="64"/>
    </row>
    <row r="111" spans="1:26" ht="10.5" customHeight="1" x14ac:dyDescent="0.3">
      <c r="A111" s="64"/>
      <c r="B111" s="63"/>
      <c r="C111" s="63"/>
      <c r="D111" s="63"/>
      <c r="E111" s="63"/>
      <c r="F111" s="63"/>
      <c r="G111" s="63"/>
      <c r="H111" s="63"/>
      <c r="I111" s="63"/>
      <c r="J111" s="63"/>
      <c r="K111" s="63"/>
      <c r="L111" s="63"/>
      <c r="M111" s="63"/>
      <c r="N111" s="63"/>
      <c r="O111" s="63"/>
      <c r="P111" s="47"/>
      <c r="Q111" s="64"/>
      <c r="R111" s="64"/>
      <c r="S111" s="64"/>
      <c r="T111" s="64"/>
      <c r="U111" s="64"/>
      <c r="V111" s="64"/>
      <c r="W111" s="64"/>
      <c r="X111" s="64"/>
      <c r="Y111" s="64"/>
      <c r="Z111" s="64"/>
    </row>
    <row r="112" spans="1:26" ht="10.5" customHeight="1" x14ac:dyDescent="0.3">
      <c r="A112" s="64"/>
      <c r="B112" s="63"/>
      <c r="C112" s="63"/>
      <c r="D112" s="63"/>
      <c r="E112" s="63"/>
      <c r="F112" s="63"/>
      <c r="G112" s="63"/>
      <c r="H112" s="63"/>
      <c r="I112" s="63"/>
      <c r="J112" s="63"/>
      <c r="K112" s="63"/>
      <c r="L112" s="63"/>
      <c r="M112" s="63"/>
      <c r="N112" s="63"/>
      <c r="O112" s="63"/>
      <c r="P112" s="47"/>
      <c r="Q112" s="64"/>
      <c r="R112" s="64"/>
      <c r="S112" s="64"/>
      <c r="T112" s="64"/>
      <c r="U112" s="64"/>
      <c r="V112" s="64"/>
      <c r="W112" s="64"/>
      <c r="X112" s="64"/>
      <c r="Y112" s="64"/>
      <c r="Z112" s="64"/>
    </row>
    <row r="113" spans="1:26" ht="10.5" customHeight="1" x14ac:dyDescent="0.3">
      <c r="A113" s="64"/>
      <c r="B113" s="63"/>
      <c r="C113" s="63"/>
      <c r="D113" s="63"/>
      <c r="E113" s="63"/>
      <c r="F113" s="63"/>
      <c r="G113" s="63"/>
      <c r="H113" s="63"/>
      <c r="I113" s="63"/>
      <c r="J113" s="63"/>
      <c r="K113" s="63"/>
      <c r="L113" s="63"/>
      <c r="M113" s="63"/>
      <c r="N113" s="63"/>
      <c r="O113" s="63"/>
      <c r="P113" s="47"/>
      <c r="Q113" s="64"/>
      <c r="R113" s="64"/>
      <c r="S113" s="64"/>
      <c r="T113" s="64"/>
      <c r="U113" s="64"/>
      <c r="V113" s="64"/>
      <c r="W113" s="64"/>
      <c r="X113" s="64"/>
      <c r="Y113" s="64"/>
      <c r="Z113" s="64"/>
    </row>
    <row r="114" spans="1:26" ht="10.5" customHeight="1" x14ac:dyDescent="0.3">
      <c r="A114" s="64"/>
      <c r="B114" s="63"/>
      <c r="C114" s="63"/>
      <c r="D114" s="63"/>
      <c r="E114" s="63"/>
      <c r="F114" s="63"/>
      <c r="G114" s="63"/>
      <c r="H114" s="63"/>
      <c r="I114" s="63"/>
      <c r="J114" s="63"/>
      <c r="K114" s="63"/>
      <c r="L114" s="63"/>
      <c r="M114" s="63"/>
      <c r="N114" s="63"/>
      <c r="O114" s="63"/>
      <c r="P114" s="47"/>
      <c r="Q114" s="64"/>
      <c r="R114" s="64"/>
      <c r="S114" s="64"/>
      <c r="T114" s="64"/>
      <c r="U114" s="64"/>
      <c r="V114" s="64"/>
      <c r="W114" s="64"/>
      <c r="X114" s="64"/>
      <c r="Y114" s="64"/>
      <c r="Z114" s="64"/>
    </row>
    <row r="115" spans="1:26" ht="10.5" customHeight="1" x14ac:dyDescent="0.3">
      <c r="A115" s="64"/>
      <c r="B115" s="63"/>
      <c r="C115" s="63"/>
      <c r="D115" s="63"/>
      <c r="E115" s="63"/>
      <c r="F115" s="63"/>
      <c r="G115" s="63"/>
      <c r="H115" s="63"/>
      <c r="I115" s="63"/>
      <c r="J115" s="63"/>
      <c r="K115" s="63"/>
      <c r="L115" s="63"/>
      <c r="M115" s="63"/>
      <c r="N115" s="63"/>
      <c r="O115" s="63"/>
      <c r="P115" s="47"/>
      <c r="Q115" s="64"/>
      <c r="R115" s="64"/>
      <c r="S115" s="64"/>
      <c r="T115" s="64"/>
      <c r="U115" s="64"/>
      <c r="V115" s="64"/>
      <c r="W115" s="64"/>
      <c r="X115" s="64"/>
      <c r="Y115" s="64"/>
      <c r="Z115" s="64"/>
    </row>
    <row r="116" spans="1:26" ht="10.5" customHeight="1" x14ac:dyDescent="0.3">
      <c r="A116" s="64"/>
      <c r="B116" s="63"/>
      <c r="C116" s="63"/>
      <c r="D116" s="63"/>
      <c r="E116" s="63"/>
      <c r="F116" s="63"/>
      <c r="G116" s="63"/>
      <c r="H116" s="63"/>
      <c r="I116" s="63"/>
      <c r="J116" s="63"/>
      <c r="K116" s="63"/>
      <c r="L116" s="63"/>
      <c r="M116" s="63"/>
      <c r="N116" s="63"/>
      <c r="O116" s="63"/>
      <c r="P116" s="47"/>
      <c r="Q116" s="64"/>
      <c r="R116" s="64"/>
      <c r="S116" s="64"/>
      <c r="T116" s="64"/>
      <c r="U116" s="64"/>
      <c r="V116" s="64"/>
      <c r="W116" s="64"/>
      <c r="X116" s="64"/>
      <c r="Y116" s="64"/>
      <c r="Z116" s="64"/>
    </row>
    <row r="117" spans="1:26" ht="10.5" customHeight="1" x14ac:dyDescent="0.3">
      <c r="A117" s="64"/>
      <c r="B117" s="63"/>
      <c r="C117" s="63"/>
      <c r="D117" s="63"/>
      <c r="E117" s="63"/>
      <c r="F117" s="63"/>
      <c r="G117" s="63"/>
      <c r="H117" s="63"/>
      <c r="I117" s="63"/>
      <c r="J117" s="63"/>
      <c r="K117" s="63"/>
      <c r="L117" s="63"/>
      <c r="M117" s="63"/>
      <c r="N117" s="63"/>
      <c r="O117" s="63"/>
      <c r="P117" s="47"/>
      <c r="Q117" s="64"/>
      <c r="R117" s="64"/>
      <c r="S117" s="64"/>
      <c r="T117" s="64"/>
      <c r="U117" s="64"/>
      <c r="V117" s="64"/>
      <c r="W117" s="64"/>
      <c r="X117" s="64"/>
      <c r="Y117" s="64"/>
      <c r="Z117" s="64"/>
    </row>
    <row r="118" spans="1:26" ht="10.5" customHeight="1" x14ac:dyDescent="0.3">
      <c r="A118" s="64"/>
      <c r="B118" s="63"/>
      <c r="C118" s="63"/>
      <c r="D118" s="63"/>
      <c r="E118" s="63"/>
      <c r="F118" s="63"/>
      <c r="G118" s="63"/>
      <c r="H118" s="63"/>
      <c r="I118" s="63"/>
      <c r="J118" s="63"/>
      <c r="K118" s="63"/>
      <c r="L118" s="63"/>
      <c r="M118" s="63"/>
      <c r="N118" s="63"/>
      <c r="O118" s="63"/>
      <c r="P118" s="47"/>
      <c r="Q118" s="64"/>
      <c r="R118" s="64"/>
      <c r="S118" s="64"/>
      <c r="T118" s="64"/>
      <c r="U118" s="64"/>
      <c r="V118" s="64"/>
      <c r="W118" s="64"/>
      <c r="X118" s="64"/>
      <c r="Y118" s="64"/>
      <c r="Z118" s="64"/>
    </row>
    <row r="119" spans="1:26" ht="10.5" customHeight="1" x14ac:dyDescent="0.3">
      <c r="A119" s="64"/>
      <c r="B119" s="63"/>
      <c r="C119" s="63"/>
      <c r="D119" s="63"/>
      <c r="E119" s="63"/>
      <c r="F119" s="63"/>
      <c r="G119" s="63"/>
      <c r="H119" s="63"/>
      <c r="I119" s="63"/>
      <c r="J119" s="63"/>
      <c r="K119" s="63"/>
      <c r="L119" s="63"/>
      <c r="M119" s="63"/>
      <c r="N119" s="63"/>
      <c r="O119" s="63"/>
      <c r="P119" s="47"/>
      <c r="Q119" s="64"/>
      <c r="R119" s="64"/>
      <c r="S119" s="64"/>
      <c r="T119" s="64"/>
      <c r="U119" s="64"/>
      <c r="V119" s="64"/>
      <c r="W119" s="64"/>
      <c r="X119" s="64"/>
      <c r="Y119" s="64"/>
      <c r="Z119" s="64"/>
    </row>
    <row r="120" spans="1:26" ht="10.5" customHeight="1" x14ac:dyDescent="0.3">
      <c r="A120" s="64"/>
      <c r="B120" s="63"/>
      <c r="C120" s="63"/>
      <c r="D120" s="63"/>
      <c r="E120" s="63"/>
      <c r="F120" s="63"/>
      <c r="G120" s="63"/>
      <c r="H120" s="63"/>
      <c r="I120" s="63"/>
      <c r="J120" s="63"/>
      <c r="K120" s="63"/>
      <c r="L120" s="63"/>
      <c r="M120" s="63"/>
      <c r="N120" s="63"/>
      <c r="O120" s="63"/>
      <c r="P120" s="47"/>
      <c r="Q120" s="64"/>
      <c r="R120" s="64"/>
      <c r="S120" s="64"/>
      <c r="T120" s="64"/>
      <c r="U120" s="64"/>
      <c r="V120" s="64"/>
      <c r="W120" s="64"/>
      <c r="X120" s="64"/>
      <c r="Y120" s="64"/>
      <c r="Z120" s="64"/>
    </row>
    <row r="121" spans="1:26" ht="10.5" customHeight="1" x14ac:dyDescent="0.3">
      <c r="A121" s="64"/>
      <c r="B121" s="63"/>
      <c r="C121" s="63"/>
      <c r="D121" s="63"/>
      <c r="E121" s="63"/>
      <c r="F121" s="63"/>
      <c r="G121" s="63"/>
      <c r="H121" s="63"/>
      <c r="I121" s="63"/>
      <c r="J121" s="63"/>
      <c r="K121" s="63"/>
      <c r="L121" s="63"/>
      <c r="M121" s="63"/>
      <c r="N121" s="63"/>
      <c r="O121" s="63"/>
      <c r="P121" s="47"/>
      <c r="Q121" s="64"/>
      <c r="R121" s="64"/>
      <c r="S121" s="64"/>
      <c r="T121" s="64"/>
      <c r="U121" s="64"/>
      <c r="V121" s="64"/>
      <c r="W121" s="64"/>
      <c r="X121" s="64"/>
      <c r="Y121" s="64"/>
      <c r="Z121" s="64"/>
    </row>
    <row r="122" spans="1:26" ht="10.5" customHeight="1" x14ac:dyDescent="0.3">
      <c r="A122" s="64"/>
      <c r="B122" s="63"/>
      <c r="C122" s="63"/>
      <c r="D122" s="63"/>
      <c r="E122" s="63"/>
      <c r="F122" s="63"/>
      <c r="G122" s="63"/>
      <c r="H122" s="63"/>
      <c r="I122" s="63"/>
      <c r="J122" s="63"/>
      <c r="K122" s="63"/>
      <c r="L122" s="63"/>
      <c r="M122" s="63"/>
      <c r="N122" s="63"/>
      <c r="O122" s="63"/>
      <c r="P122" s="47"/>
      <c r="Q122" s="64"/>
      <c r="R122" s="64"/>
      <c r="S122" s="64"/>
      <c r="T122" s="64"/>
      <c r="U122" s="64"/>
      <c r="V122" s="64"/>
      <c r="W122" s="64"/>
      <c r="X122" s="64"/>
      <c r="Y122" s="64"/>
      <c r="Z122" s="64"/>
    </row>
    <row r="123" spans="1:26" ht="10.5" customHeight="1" x14ac:dyDescent="0.3">
      <c r="A123" s="64"/>
      <c r="B123" s="63"/>
      <c r="C123" s="63"/>
      <c r="D123" s="63"/>
      <c r="E123" s="63"/>
      <c r="F123" s="63"/>
      <c r="G123" s="63"/>
      <c r="H123" s="63"/>
      <c r="I123" s="63"/>
      <c r="J123" s="63"/>
      <c r="K123" s="63"/>
      <c r="L123" s="63"/>
      <c r="M123" s="63"/>
      <c r="N123" s="63"/>
      <c r="O123" s="63"/>
      <c r="P123" s="47"/>
      <c r="Q123" s="64"/>
      <c r="R123" s="64"/>
      <c r="S123" s="64"/>
      <c r="T123" s="64"/>
      <c r="U123" s="64"/>
      <c r="V123" s="64"/>
      <c r="W123" s="64"/>
      <c r="X123" s="64"/>
      <c r="Y123" s="64"/>
      <c r="Z123" s="64"/>
    </row>
    <row r="124" spans="1:26" ht="10.5" customHeight="1" x14ac:dyDescent="0.3">
      <c r="A124" s="64"/>
      <c r="B124" s="63"/>
      <c r="C124" s="63"/>
      <c r="D124" s="63"/>
      <c r="E124" s="63"/>
      <c r="F124" s="63"/>
      <c r="G124" s="63"/>
      <c r="H124" s="63"/>
      <c r="I124" s="63"/>
      <c r="J124" s="63"/>
      <c r="K124" s="63"/>
      <c r="L124" s="63"/>
      <c r="M124" s="63"/>
      <c r="N124" s="63"/>
      <c r="O124" s="63"/>
      <c r="P124" s="47"/>
      <c r="Q124" s="64"/>
      <c r="R124" s="64"/>
      <c r="S124" s="64"/>
      <c r="T124" s="64"/>
      <c r="U124" s="64"/>
      <c r="V124" s="64"/>
      <c r="W124" s="64"/>
      <c r="X124" s="64"/>
      <c r="Y124" s="64"/>
      <c r="Z124" s="64"/>
    </row>
    <row r="125" spans="1:26" ht="10.5" customHeight="1" x14ac:dyDescent="0.3">
      <c r="A125" s="64"/>
      <c r="B125" s="63"/>
      <c r="C125" s="63"/>
      <c r="D125" s="63"/>
      <c r="E125" s="63"/>
      <c r="F125" s="63"/>
      <c r="G125" s="63"/>
      <c r="H125" s="63"/>
      <c r="I125" s="63"/>
      <c r="J125" s="63"/>
      <c r="K125" s="63"/>
      <c r="L125" s="63"/>
      <c r="M125" s="63"/>
      <c r="N125" s="63"/>
      <c r="O125" s="63"/>
      <c r="P125" s="47"/>
      <c r="Q125" s="64"/>
      <c r="R125" s="64"/>
      <c r="S125" s="64"/>
      <c r="T125" s="64"/>
      <c r="U125" s="64"/>
      <c r="V125" s="64"/>
      <c r="W125" s="64"/>
      <c r="X125" s="64"/>
      <c r="Y125" s="64"/>
      <c r="Z125" s="64"/>
    </row>
    <row r="126" spans="1:26" ht="10.5" customHeight="1" x14ac:dyDescent="0.3">
      <c r="A126" s="64"/>
      <c r="B126" s="63"/>
      <c r="C126" s="63"/>
      <c r="D126" s="63"/>
      <c r="E126" s="63"/>
      <c r="F126" s="63"/>
      <c r="G126" s="63"/>
      <c r="H126" s="63"/>
      <c r="I126" s="63"/>
      <c r="J126" s="63"/>
      <c r="K126" s="63"/>
      <c r="L126" s="63"/>
      <c r="M126" s="63"/>
      <c r="N126" s="63"/>
      <c r="O126" s="63"/>
      <c r="P126" s="47"/>
      <c r="Q126" s="64"/>
      <c r="R126" s="64"/>
      <c r="S126" s="64"/>
      <c r="T126" s="64"/>
      <c r="U126" s="64"/>
      <c r="V126" s="64"/>
      <c r="W126" s="64"/>
      <c r="X126" s="64"/>
      <c r="Y126" s="64"/>
      <c r="Z126" s="64"/>
    </row>
    <row r="127" spans="1:26" ht="10.5" customHeight="1" x14ac:dyDescent="0.3">
      <c r="A127" s="64"/>
      <c r="B127" s="63"/>
      <c r="C127" s="63"/>
      <c r="D127" s="63"/>
      <c r="E127" s="63"/>
      <c r="F127" s="63"/>
      <c r="G127" s="63"/>
      <c r="H127" s="63"/>
      <c r="I127" s="63"/>
      <c r="J127" s="63"/>
      <c r="K127" s="63"/>
      <c r="L127" s="63"/>
      <c r="M127" s="63"/>
      <c r="N127" s="63"/>
      <c r="O127" s="63"/>
      <c r="P127" s="47"/>
      <c r="Q127" s="64"/>
      <c r="R127" s="64"/>
      <c r="S127" s="64"/>
      <c r="T127" s="64"/>
      <c r="U127" s="64"/>
      <c r="V127" s="64"/>
      <c r="W127" s="64"/>
      <c r="X127" s="64"/>
      <c r="Y127" s="64"/>
      <c r="Z127" s="64"/>
    </row>
    <row r="128" spans="1:26" ht="10.5" customHeight="1" x14ac:dyDescent="0.3">
      <c r="A128" s="64"/>
      <c r="B128" s="63"/>
      <c r="C128" s="63"/>
      <c r="D128" s="63"/>
      <c r="E128" s="63"/>
      <c r="F128" s="63"/>
      <c r="G128" s="63"/>
      <c r="H128" s="63"/>
      <c r="I128" s="63"/>
      <c r="J128" s="63"/>
      <c r="K128" s="63"/>
      <c r="L128" s="63"/>
      <c r="M128" s="63"/>
      <c r="N128" s="63"/>
      <c r="O128" s="63"/>
      <c r="P128" s="47"/>
      <c r="Q128" s="64"/>
      <c r="R128" s="64"/>
      <c r="S128" s="64"/>
      <c r="T128" s="64"/>
      <c r="U128" s="64"/>
      <c r="V128" s="64"/>
      <c r="W128" s="64"/>
      <c r="X128" s="64"/>
      <c r="Y128" s="64"/>
      <c r="Z128" s="64"/>
    </row>
    <row r="129" spans="1:26" ht="10.5" customHeight="1" x14ac:dyDescent="0.3">
      <c r="A129" s="64"/>
      <c r="B129" s="63"/>
      <c r="C129" s="63"/>
      <c r="D129" s="63"/>
      <c r="E129" s="63"/>
      <c r="F129" s="63"/>
      <c r="G129" s="63"/>
      <c r="H129" s="63"/>
      <c r="I129" s="63"/>
      <c r="J129" s="63"/>
      <c r="K129" s="63"/>
      <c r="L129" s="63"/>
      <c r="M129" s="63"/>
      <c r="N129" s="63"/>
      <c r="O129" s="63"/>
      <c r="P129" s="47"/>
      <c r="Q129" s="64"/>
      <c r="R129" s="64"/>
      <c r="S129" s="64"/>
      <c r="T129" s="64"/>
      <c r="U129" s="64"/>
      <c r="V129" s="64"/>
      <c r="W129" s="64"/>
      <c r="X129" s="64"/>
      <c r="Y129" s="64"/>
      <c r="Z129" s="64"/>
    </row>
    <row r="130" spans="1:26" ht="10.5" customHeight="1" x14ac:dyDescent="0.3">
      <c r="A130" s="64"/>
      <c r="B130" s="63"/>
      <c r="C130" s="63"/>
      <c r="D130" s="63"/>
      <c r="E130" s="63"/>
      <c r="F130" s="63"/>
      <c r="G130" s="63"/>
      <c r="H130" s="63"/>
      <c r="I130" s="63"/>
      <c r="J130" s="63"/>
      <c r="K130" s="63"/>
      <c r="L130" s="63"/>
      <c r="M130" s="63"/>
      <c r="N130" s="63"/>
      <c r="O130" s="63"/>
      <c r="P130" s="47"/>
      <c r="Q130" s="64"/>
      <c r="R130" s="64"/>
      <c r="S130" s="64"/>
      <c r="T130" s="64"/>
      <c r="U130" s="64"/>
      <c r="V130" s="64"/>
      <c r="W130" s="64"/>
      <c r="X130" s="64"/>
      <c r="Y130" s="64"/>
      <c r="Z130" s="64"/>
    </row>
    <row r="131" spans="1:26" ht="10.5" customHeight="1" x14ac:dyDescent="0.3">
      <c r="A131" s="64"/>
      <c r="B131" s="63"/>
      <c r="C131" s="63"/>
      <c r="D131" s="63"/>
      <c r="E131" s="63"/>
      <c r="F131" s="63"/>
      <c r="G131" s="63"/>
      <c r="H131" s="63"/>
      <c r="I131" s="63"/>
      <c r="J131" s="63"/>
      <c r="K131" s="63"/>
      <c r="L131" s="63"/>
      <c r="M131" s="63"/>
      <c r="N131" s="63"/>
      <c r="O131" s="63"/>
      <c r="P131" s="47"/>
      <c r="Q131" s="64"/>
      <c r="R131" s="64"/>
      <c r="S131" s="64"/>
      <c r="T131" s="64"/>
      <c r="U131" s="64"/>
      <c r="V131" s="64"/>
      <c r="W131" s="64"/>
      <c r="X131" s="64"/>
      <c r="Y131" s="64"/>
      <c r="Z131" s="64"/>
    </row>
    <row r="132" spans="1:26" ht="10.5" customHeight="1" x14ac:dyDescent="0.3">
      <c r="A132" s="64"/>
      <c r="B132" s="63"/>
      <c r="C132" s="63"/>
      <c r="D132" s="63"/>
      <c r="E132" s="63"/>
      <c r="F132" s="63"/>
      <c r="G132" s="63"/>
      <c r="H132" s="63"/>
      <c r="I132" s="63"/>
      <c r="J132" s="63"/>
      <c r="K132" s="63"/>
      <c r="L132" s="63"/>
      <c r="M132" s="63"/>
      <c r="N132" s="63"/>
      <c r="O132" s="63"/>
      <c r="P132" s="47"/>
      <c r="Q132" s="64"/>
      <c r="R132" s="64"/>
      <c r="S132" s="64"/>
      <c r="T132" s="64"/>
      <c r="U132" s="64"/>
      <c r="V132" s="64"/>
      <c r="W132" s="64"/>
      <c r="X132" s="64"/>
      <c r="Y132" s="64"/>
      <c r="Z132" s="64"/>
    </row>
    <row r="133" spans="1:26" ht="10.5" customHeight="1" x14ac:dyDescent="0.3">
      <c r="A133" s="64"/>
      <c r="B133" s="63"/>
      <c r="C133" s="63"/>
      <c r="D133" s="63"/>
      <c r="E133" s="63"/>
      <c r="F133" s="63"/>
      <c r="G133" s="63"/>
      <c r="H133" s="63"/>
      <c r="I133" s="63"/>
      <c r="J133" s="63"/>
      <c r="K133" s="63"/>
      <c r="L133" s="63"/>
      <c r="M133" s="63"/>
      <c r="N133" s="63"/>
      <c r="O133" s="63"/>
      <c r="P133" s="47"/>
      <c r="Q133" s="64"/>
      <c r="R133" s="64"/>
      <c r="S133" s="64"/>
      <c r="T133" s="64"/>
      <c r="U133" s="64"/>
      <c r="V133" s="64"/>
      <c r="W133" s="64"/>
      <c r="X133" s="64"/>
      <c r="Y133" s="64"/>
      <c r="Z133" s="64"/>
    </row>
    <row r="134" spans="1:26" ht="10.5" customHeight="1" x14ac:dyDescent="0.3">
      <c r="A134" s="64"/>
      <c r="B134" s="63"/>
      <c r="C134" s="63"/>
      <c r="D134" s="63"/>
      <c r="E134" s="63"/>
      <c r="F134" s="63"/>
      <c r="G134" s="63"/>
      <c r="H134" s="63"/>
      <c r="I134" s="63"/>
      <c r="J134" s="63"/>
      <c r="K134" s="63"/>
      <c r="L134" s="63"/>
      <c r="M134" s="63"/>
      <c r="N134" s="63"/>
      <c r="O134" s="63"/>
      <c r="P134" s="47"/>
      <c r="Q134" s="64"/>
      <c r="R134" s="64"/>
      <c r="S134" s="64"/>
      <c r="T134" s="64"/>
      <c r="U134" s="64"/>
      <c r="V134" s="64"/>
      <c r="W134" s="64"/>
      <c r="X134" s="64"/>
      <c r="Y134" s="64"/>
      <c r="Z134" s="64"/>
    </row>
    <row r="135" spans="1:26" ht="10.5" customHeight="1" x14ac:dyDescent="0.3">
      <c r="A135" s="64"/>
      <c r="B135" s="63"/>
      <c r="C135" s="63"/>
      <c r="D135" s="63"/>
      <c r="E135" s="63"/>
      <c r="F135" s="63"/>
      <c r="G135" s="63"/>
      <c r="H135" s="63"/>
      <c r="I135" s="63"/>
      <c r="J135" s="63"/>
      <c r="K135" s="63"/>
      <c r="L135" s="63"/>
      <c r="M135" s="63"/>
      <c r="N135" s="63"/>
      <c r="O135" s="63"/>
      <c r="P135" s="47"/>
      <c r="Q135" s="64"/>
      <c r="R135" s="64"/>
      <c r="S135" s="64"/>
      <c r="T135" s="64"/>
      <c r="U135" s="64"/>
      <c r="V135" s="64"/>
      <c r="W135" s="64"/>
      <c r="X135" s="64"/>
      <c r="Y135" s="64"/>
      <c r="Z135" s="64"/>
    </row>
    <row r="136" spans="1:26" ht="10.5" customHeight="1" x14ac:dyDescent="0.3">
      <c r="A136" s="64"/>
      <c r="B136" s="63"/>
      <c r="C136" s="63"/>
      <c r="D136" s="63"/>
      <c r="E136" s="63"/>
      <c r="F136" s="63"/>
      <c r="G136" s="63"/>
      <c r="H136" s="63"/>
      <c r="I136" s="63"/>
      <c r="J136" s="63"/>
      <c r="K136" s="63"/>
      <c r="L136" s="63"/>
      <c r="M136" s="63"/>
      <c r="N136" s="63"/>
      <c r="O136" s="63"/>
      <c r="P136" s="47"/>
      <c r="Q136" s="64"/>
      <c r="R136" s="64"/>
      <c r="S136" s="64"/>
      <c r="T136" s="64"/>
      <c r="U136" s="64"/>
      <c r="V136" s="64"/>
      <c r="W136" s="64"/>
      <c r="X136" s="64"/>
      <c r="Y136" s="64"/>
      <c r="Z136" s="64"/>
    </row>
    <row r="137" spans="1:26" ht="10.5" customHeight="1" x14ac:dyDescent="0.3">
      <c r="A137" s="64"/>
      <c r="B137" s="63"/>
      <c r="C137" s="63"/>
      <c r="D137" s="63"/>
      <c r="E137" s="63"/>
      <c r="F137" s="63"/>
      <c r="G137" s="63"/>
      <c r="H137" s="63"/>
      <c r="I137" s="63"/>
      <c r="J137" s="63"/>
      <c r="K137" s="63"/>
      <c r="L137" s="63"/>
      <c r="M137" s="63"/>
      <c r="N137" s="63"/>
      <c r="O137" s="63"/>
      <c r="P137" s="47"/>
      <c r="Q137" s="64"/>
      <c r="R137" s="64"/>
      <c r="S137" s="64"/>
      <c r="T137" s="64"/>
      <c r="U137" s="64"/>
      <c r="V137" s="64"/>
      <c r="W137" s="64"/>
      <c r="X137" s="64"/>
      <c r="Y137" s="64"/>
      <c r="Z137" s="64"/>
    </row>
    <row r="138" spans="1:26" ht="10.5" customHeight="1" x14ac:dyDescent="0.3">
      <c r="A138" s="64"/>
      <c r="B138" s="63"/>
      <c r="C138" s="63"/>
      <c r="D138" s="63"/>
      <c r="E138" s="63"/>
      <c r="F138" s="63"/>
      <c r="G138" s="63"/>
      <c r="H138" s="63"/>
      <c r="I138" s="63"/>
      <c r="J138" s="63"/>
      <c r="K138" s="63"/>
      <c r="L138" s="63"/>
      <c r="M138" s="63"/>
      <c r="N138" s="63"/>
      <c r="O138" s="63"/>
      <c r="P138" s="47"/>
      <c r="Q138" s="64"/>
      <c r="R138" s="64"/>
      <c r="S138" s="64"/>
      <c r="T138" s="64"/>
      <c r="U138" s="64"/>
      <c r="V138" s="64"/>
      <c r="W138" s="64"/>
      <c r="X138" s="64"/>
      <c r="Y138" s="64"/>
      <c r="Z138" s="64"/>
    </row>
    <row r="139" spans="1:26" ht="10.5" customHeight="1" x14ac:dyDescent="0.3">
      <c r="A139" s="64"/>
      <c r="B139" s="63"/>
      <c r="C139" s="63"/>
      <c r="D139" s="63"/>
      <c r="E139" s="63"/>
      <c r="F139" s="63"/>
      <c r="G139" s="63"/>
      <c r="H139" s="63"/>
      <c r="I139" s="63"/>
      <c r="J139" s="63"/>
      <c r="K139" s="63"/>
      <c r="L139" s="63"/>
      <c r="M139" s="63"/>
      <c r="N139" s="63"/>
      <c r="O139" s="63"/>
      <c r="P139" s="47"/>
      <c r="Q139" s="64"/>
      <c r="R139" s="64"/>
      <c r="S139" s="64"/>
      <c r="T139" s="64"/>
      <c r="U139" s="64"/>
      <c r="V139" s="64"/>
      <c r="W139" s="64"/>
      <c r="X139" s="64"/>
      <c r="Y139" s="64"/>
      <c r="Z139" s="64"/>
    </row>
    <row r="140" spans="1:26" ht="10.5" customHeight="1" x14ac:dyDescent="0.3">
      <c r="A140" s="64"/>
      <c r="B140" s="63"/>
      <c r="C140" s="63"/>
      <c r="D140" s="63"/>
      <c r="E140" s="63"/>
      <c r="F140" s="63"/>
      <c r="G140" s="63"/>
      <c r="H140" s="63"/>
      <c r="I140" s="63"/>
      <c r="J140" s="63"/>
      <c r="K140" s="63"/>
      <c r="L140" s="63"/>
      <c r="M140" s="63"/>
      <c r="N140" s="63"/>
      <c r="O140" s="63"/>
      <c r="P140" s="47"/>
      <c r="Q140" s="64"/>
      <c r="R140" s="64"/>
      <c r="S140" s="64"/>
      <c r="T140" s="64"/>
      <c r="U140" s="64"/>
      <c r="V140" s="64"/>
      <c r="W140" s="64"/>
      <c r="X140" s="64"/>
      <c r="Y140" s="64"/>
      <c r="Z140" s="64"/>
    </row>
    <row r="141" spans="1:26" ht="10.5" customHeight="1" x14ac:dyDescent="0.3">
      <c r="A141" s="64"/>
      <c r="B141" s="63"/>
      <c r="C141" s="63"/>
      <c r="D141" s="63"/>
      <c r="E141" s="63"/>
      <c r="F141" s="63"/>
      <c r="G141" s="63"/>
      <c r="H141" s="63"/>
      <c r="I141" s="63"/>
      <c r="J141" s="63"/>
      <c r="K141" s="63"/>
      <c r="L141" s="63"/>
      <c r="M141" s="63"/>
      <c r="N141" s="63"/>
      <c r="O141" s="63"/>
      <c r="P141" s="47"/>
      <c r="Q141" s="64"/>
      <c r="R141" s="64"/>
      <c r="S141" s="64"/>
      <c r="T141" s="64"/>
      <c r="U141" s="64"/>
      <c r="V141" s="64"/>
      <c r="W141" s="64"/>
      <c r="X141" s="64"/>
      <c r="Y141" s="64"/>
      <c r="Z141" s="64"/>
    </row>
    <row r="142" spans="1:26" ht="10.5" customHeight="1" x14ac:dyDescent="0.3">
      <c r="A142" s="64"/>
      <c r="B142" s="63"/>
      <c r="C142" s="63"/>
      <c r="D142" s="63"/>
      <c r="E142" s="63"/>
      <c r="F142" s="63"/>
      <c r="G142" s="63"/>
      <c r="H142" s="63"/>
      <c r="I142" s="63"/>
      <c r="J142" s="63"/>
      <c r="K142" s="63"/>
      <c r="L142" s="63"/>
      <c r="M142" s="63"/>
      <c r="N142" s="63"/>
      <c r="O142" s="63"/>
      <c r="P142" s="47"/>
      <c r="Q142" s="64"/>
      <c r="R142" s="64"/>
      <c r="S142" s="64"/>
      <c r="T142" s="64"/>
      <c r="U142" s="64"/>
      <c r="V142" s="64"/>
      <c r="W142" s="64"/>
      <c r="X142" s="64"/>
      <c r="Y142" s="64"/>
      <c r="Z142" s="64"/>
    </row>
    <row r="143" spans="1:26" ht="10.5" customHeight="1" x14ac:dyDescent="0.3">
      <c r="A143" s="64"/>
      <c r="B143" s="63"/>
      <c r="C143" s="63"/>
      <c r="D143" s="63"/>
      <c r="E143" s="63"/>
      <c r="F143" s="63"/>
      <c r="G143" s="63"/>
      <c r="H143" s="63"/>
      <c r="I143" s="63"/>
      <c r="J143" s="63"/>
      <c r="K143" s="63"/>
      <c r="L143" s="63"/>
      <c r="M143" s="63"/>
      <c r="N143" s="63"/>
      <c r="O143" s="63"/>
      <c r="P143" s="47"/>
      <c r="Q143" s="64"/>
      <c r="R143" s="64"/>
      <c r="S143" s="64"/>
      <c r="T143" s="64"/>
      <c r="U143" s="64"/>
      <c r="V143" s="64"/>
      <c r="W143" s="64"/>
      <c r="X143" s="64"/>
      <c r="Y143" s="64"/>
      <c r="Z143" s="64"/>
    </row>
    <row r="144" spans="1:26" ht="10.5" customHeight="1" x14ac:dyDescent="0.3">
      <c r="A144" s="64"/>
      <c r="B144" s="63"/>
      <c r="C144" s="63"/>
      <c r="D144" s="63"/>
      <c r="E144" s="63"/>
      <c r="F144" s="63"/>
      <c r="G144" s="63"/>
      <c r="H144" s="63"/>
      <c r="I144" s="63"/>
      <c r="J144" s="63"/>
      <c r="K144" s="63"/>
      <c r="L144" s="63"/>
      <c r="M144" s="63"/>
      <c r="N144" s="63"/>
      <c r="O144" s="63"/>
      <c r="P144" s="47"/>
      <c r="Q144" s="64"/>
      <c r="R144" s="64"/>
      <c r="S144" s="64"/>
      <c r="T144" s="64"/>
      <c r="U144" s="64"/>
      <c r="V144" s="64"/>
      <c r="W144" s="64"/>
      <c r="X144" s="64"/>
      <c r="Y144" s="64"/>
      <c r="Z144" s="64"/>
    </row>
    <row r="145" spans="1:26" ht="10.5" customHeight="1" x14ac:dyDescent="0.3">
      <c r="A145" s="64"/>
      <c r="B145" s="63"/>
      <c r="C145" s="63"/>
      <c r="D145" s="63"/>
      <c r="E145" s="63"/>
      <c r="F145" s="63"/>
      <c r="G145" s="63"/>
      <c r="H145" s="63"/>
      <c r="I145" s="63"/>
      <c r="J145" s="63"/>
      <c r="K145" s="63"/>
      <c r="L145" s="63"/>
      <c r="M145" s="63"/>
      <c r="N145" s="63"/>
      <c r="O145" s="63"/>
      <c r="P145" s="47"/>
      <c r="Q145" s="64"/>
      <c r="R145" s="64"/>
      <c r="S145" s="64"/>
      <c r="T145" s="64"/>
      <c r="U145" s="64"/>
      <c r="V145" s="64"/>
      <c r="W145" s="64"/>
      <c r="X145" s="64"/>
      <c r="Y145" s="64"/>
      <c r="Z145" s="64"/>
    </row>
    <row r="146" spans="1:26" ht="10.5" customHeight="1" x14ac:dyDescent="0.3">
      <c r="A146" s="64"/>
      <c r="B146" s="63"/>
      <c r="C146" s="63"/>
      <c r="D146" s="63"/>
      <c r="E146" s="63"/>
      <c r="F146" s="63"/>
      <c r="G146" s="63"/>
      <c r="H146" s="63"/>
      <c r="I146" s="63"/>
      <c r="J146" s="63"/>
      <c r="K146" s="63"/>
      <c r="L146" s="63"/>
      <c r="M146" s="63"/>
      <c r="N146" s="63"/>
      <c r="O146" s="63"/>
      <c r="P146" s="47"/>
      <c r="Q146" s="64"/>
      <c r="R146" s="64"/>
      <c r="S146" s="64"/>
      <c r="T146" s="64"/>
      <c r="U146" s="64"/>
      <c r="V146" s="64"/>
      <c r="W146" s="64"/>
      <c r="X146" s="64"/>
      <c r="Y146" s="64"/>
      <c r="Z146" s="64"/>
    </row>
    <row r="147" spans="1:26" ht="10.5" customHeight="1" x14ac:dyDescent="0.3">
      <c r="A147" s="64"/>
      <c r="B147" s="63"/>
      <c r="C147" s="63"/>
      <c r="D147" s="63"/>
      <c r="E147" s="63"/>
      <c r="F147" s="63"/>
      <c r="G147" s="63"/>
      <c r="H147" s="63"/>
      <c r="I147" s="63"/>
      <c r="J147" s="63"/>
      <c r="K147" s="63"/>
      <c r="L147" s="63"/>
      <c r="M147" s="63"/>
      <c r="N147" s="63"/>
      <c r="O147" s="63"/>
      <c r="P147" s="47"/>
      <c r="Q147" s="64"/>
      <c r="R147" s="64"/>
      <c r="S147" s="64"/>
      <c r="T147" s="64"/>
      <c r="U147" s="64"/>
      <c r="V147" s="64"/>
      <c r="W147" s="64"/>
      <c r="X147" s="64"/>
      <c r="Y147" s="64"/>
      <c r="Z147" s="64"/>
    </row>
    <row r="148" spans="1:26" ht="10.5" customHeight="1" x14ac:dyDescent="0.3">
      <c r="A148" s="64"/>
      <c r="B148" s="63"/>
      <c r="C148" s="63"/>
      <c r="D148" s="63"/>
      <c r="E148" s="63"/>
      <c r="F148" s="63"/>
      <c r="G148" s="63"/>
      <c r="H148" s="63"/>
      <c r="I148" s="63"/>
      <c r="J148" s="63"/>
      <c r="K148" s="63"/>
      <c r="L148" s="63"/>
      <c r="M148" s="63"/>
      <c r="N148" s="63"/>
      <c r="O148" s="63"/>
      <c r="P148" s="47"/>
      <c r="Q148" s="64"/>
      <c r="R148" s="64"/>
      <c r="S148" s="64"/>
      <c r="T148" s="64"/>
      <c r="U148" s="64"/>
      <c r="V148" s="64"/>
      <c r="W148" s="64"/>
      <c r="X148" s="64"/>
      <c r="Y148" s="64"/>
      <c r="Z148" s="64"/>
    </row>
    <row r="149" spans="1:26" ht="10.5" customHeight="1" x14ac:dyDescent="0.3">
      <c r="A149" s="64"/>
      <c r="B149" s="63"/>
      <c r="C149" s="63"/>
      <c r="D149" s="63"/>
      <c r="E149" s="63"/>
      <c r="F149" s="63"/>
      <c r="G149" s="63"/>
      <c r="H149" s="63"/>
      <c r="I149" s="63"/>
      <c r="J149" s="63"/>
      <c r="K149" s="63"/>
      <c r="L149" s="63"/>
      <c r="M149" s="63"/>
      <c r="N149" s="63"/>
      <c r="O149" s="63"/>
      <c r="P149" s="47"/>
      <c r="Q149" s="64"/>
      <c r="R149" s="64"/>
      <c r="S149" s="64"/>
      <c r="T149" s="64"/>
      <c r="U149" s="64"/>
      <c r="V149" s="64"/>
      <c r="W149" s="64"/>
      <c r="X149" s="64"/>
      <c r="Y149" s="64"/>
      <c r="Z149" s="64"/>
    </row>
    <row r="150" spans="1:26" ht="10.5" customHeight="1" x14ac:dyDescent="0.3">
      <c r="A150" s="64"/>
      <c r="B150" s="63"/>
      <c r="C150" s="63"/>
      <c r="D150" s="63"/>
      <c r="E150" s="63"/>
      <c r="F150" s="63"/>
      <c r="G150" s="63"/>
      <c r="H150" s="63"/>
      <c r="I150" s="63"/>
      <c r="J150" s="63"/>
      <c r="K150" s="63"/>
      <c r="L150" s="63"/>
      <c r="M150" s="63"/>
      <c r="N150" s="63"/>
      <c r="O150" s="63"/>
      <c r="P150" s="47"/>
      <c r="Q150" s="64"/>
      <c r="R150" s="64"/>
      <c r="S150" s="64"/>
      <c r="T150" s="64"/>
      <c r="U150" s="64"/>
      <c r="V150" s="64"/>
      <c r="W150" s="64"/>
      <c r="X150" s="64"/>
      <c r="Y150" s="64"/>
      <c r="Z150" s="64"/>
    </row>
    <row r="151" spans="1:26" ht="10.5" customHeight="1" x14ac:dyDescent="0.3">
      <c r="A151" s="64"/>
      <c r="B151" s="63"/>
      <c r="C151" s="63"/>
      <c r="D151" s="63"/>
      <c r="E151" s="63"/>
      <c r="F151" s="63"/>
      <c r="G151" s="63"/>
      <c r="H151" s="63"/>
      <c r="I151" s="63"/>
      <c r="J151" s="63"/>
      <c r="K151" s="63"/>
      <c r="L151" s="63"/>
      <c r="M151" s="63"/>
      <c r="N151" s="63"/>
      <c r="O151" s="63"/>
      <c r="P151" s="47"/>
      <c r="Q151" s="64"/>
      <c r="R151" s="64"/>
      <c r="S151" s="64"/>
      <c r="T151" s="64"/>
      <c r="U151" s="64"/>
      <c r="V151" s="64"/>
      <c r="W151" s="64"/>
      <c r="X151" s="64"/>
      <c r="Y151" s="64"/>
      <c r="Z151" s="64"/>
    </row>
    <row r="152" spans="1:26" ht="10.5" customHeight="1" x14ac:dyDescent="0.3">
      <c r="A152" s="64"/>
      <c r="B152" s="63"/>
      <c r="C152" s="63"/>
      <c r="D152" s="63"/>
      <c r="E152" s="63"/>
      <c r="F152" s="63"/>
      <c r="G152" s="63"/>
      <c r="H152" s="63"/>
      <c r="I152" s="63"/>
      <c r="J152" s="63"/>
      <c r="K152" s="63"/>
      <c r="L152" s="63"/>
      <c r="M152" s="63"/>
      <c r="N152" s="63"/>
      <c r="O152" s="63"/>
      <c r="P152" s="47"/>
      <c r="Q152" s="64"/>
      <c r="R152" s="64"/>
      <c r="S152" s="64"/>
      <c r="T152" s="64"/>
      <c r="U152" s="64"/>
      <c r="V152" s="64"/>
      <c r="W152" s="64"/>
      <c r="X152" s="64"/>
      <c r="Y152" s="64"/>
      <c r="Z152" s="64"/>
    </row>
    <row r="153" spans="1:26" ht="10.5" customHeight="1" x14ac:dyDescent="0.3">
      <c r="A153" s="64"/>
      <c r="B153" s="63"/>
      <c r="C153" s="63"/>
      <c r="D153" s="63"/>
      <c r="E153" s="63"/>
      <c r="F153" s="63"/>
      <c r="G153" s="63"/>
      <c r="H153" s="63"/>
      <c r="I153" s="63"/>
      <c r="J153" s="63"/>
      <c r="K153" s="63"/>
      <c r="L153" s="63"/>
      <c r="M153" s="63"/>
      <c r="N153" s="63"/>
      <c r="O153" s="63"/>
      <c r="P153" s="47"/>
      <c r="Q153" s="64"/>
      <c r="R153" s="64"/>
      <c r="S153" s="64"/>
      <c r="T153" s="64"/>
      <c r="U153" s="64"/>
      <c r="V153" s="64"/>
      <c r="W153" s="64"/>
      <c r="X153" s="64"/>
      <c r="Y153" s="64"/>
      <c r="Z153" s="64"/>
    </row>
    <row r="154" spans="1:26" ht="10.5" customHeight="1" x14ac:dyDescent="0.3">
      <c r="A154" s="64"/>
      <c r="B154" s="63"/>
      <c r="C154" s="63"/>
      <c r="D154" s="63"/>
      <c r="E154" s="63"/>
      <c r="F154" s="63"/>
      <c r="G154" s="63"/>
      <c r="H154" s="63"/>
      <c r="I154" s="63"/>
      <c r="J154" s="63"/>
      <c r="K154" s="63"/>
      <c r="L154" s="63"/>
      <c r="M154" s="63"/>
      <c r="N154" s="63"/>
      <c r="O154" s="63"/>
      <c r="P154" s="47"/>
      <c r="Q154" s="64"/>
      <c r="R154" s="64"/>
      <c r="S154" s="64"/>
      <c r="T154" s="64"/>
      <c r="U154" s="64"/>
      <c r="V154" s="64"/>
      <c r="W154" s="64"/>
      <c r="X154" s="64"/>
      <c r="Y154" s="64"/>
      <c r="Z154" s="64"/>
    </row>
    <row r="155" spans="1:26" ht="10.5" customHeight="1" x14ac:dyDescent="0.3">
      <c r="A155" s="64"/>
      <c r="B155" s="63"/>
      <c r="C155" s="63"/>
      <c r="D155" s="63"/>
      <c r="E155" s="63"/>
      <c r="F155" s="63"/>
      <c r="G155" s="63"/>
      <c r="H155" s="63"/>
      <c r="I155" s="63"/>
      <c r="J155" s="63"/>
      <c r="K155" s="63"/>
      <c r="L155" s="63"/>
      <c r="M155" s="63"/>
      <c r="N155" s="63"/>
      <c r="O155" s="63"/>
      <c r="P155" s="47"/>
      <c r="Q155" s="64"/>
      <c r="R155" s="64"/>
      <c r="S155" s="64"/>
      <c r="T155" s="64"/>
      <c r="U155" s="64"/>
      <c r="V155" s="64"/>
      <c r="W155" s="64"/>
      <c r="X155" s="64"/>
      <c r="Y155" s="64"/>
      <c r="Z155" s="64"/>
    </row>
    <row r="156" spans="1:26" ht="10.5" customHeight="1" x14ac:dyDescent="0.3">
      <c r="A156" s="64"/>
      <c r="B156" s="63"/>
      <c r="C156" s="63"/>
      <c r="D156" s="63"/>
      <c r="E156" s="63"/>
      <c r="F156" s="63"/>
      <c r="G156" s="63"/>
      <c r="H156" s="63"/>
      <c r="I156" s="63"/>
      <c r="J156" s="63"/>
      <c r="K156" s="63"/>
      <c r="L156" s="63"/>
      <c r="M156" s="63"/>
      <c r="N156" s="63"/>
      <c r="O156" s="63"/>
      <c r="P156" s="47"/>
      <c r="Q156" s="64"/>
      <c r="R156" s="64"/>
      <c r="S156" s="64"/>
      <c r="T156" s="64"/>
      <c r="U156" s="64"/>
      <c r="V156" s="64"/>
      <c r="W156" s="64"/>
      <c r="X156" s="64"/>
      <c r="Y156" s="64"/>
      <c r="Z156" s="64"/>
    </row>
    <row r="157" spans="1:26" ht="10.5" customHeight="1" x14ac:dyDescent="0.3">
      <c r="A157" s="64"/>
      <c r="B157" s="63"/>
      <c r="C157" s="63"/>
      <c r="D157" s="63"/>
      <c r="E157" s="63"/>
      <c r="F157" s="63"/>
      <c r="G157" s="63"/>
      <c r="H157" s="63"/>
      <c r="I157" s="63"/>
      <c r="J157" s="63"/>
      <c r="K157" s="63"/>
      <c r="L157" s="63"/>
      <c r="M157" s="63"/>
      <c r="N157" s="63"/>
      <c r="O157" s="63"/>
      <c r="P157" s="47"/>
      <c r="Q157" s="64"/>
      <c r="R157" s="64"/>
      <c r="S157" s="64"/>
      <c r="T157" s="64"/>
      <c r="U157" s="64"/>
      <c r="V157" s="64"/>
      <c r="W157" s="64"/>
      <c r="X157" s="64"/>
      <c r="Y157" s="64"/>
      <c r="Z157" s="64"/>
    </row>
    <row r="158" spans="1:26" ht="10.5" customHeight="1" x14ac:dyDescent="0.3">
      <c r="A158" s="64"/>
      <c r="B158" s="63"/>
      <c r="C158" s="63"/>
      <c r="D158" s="63"/>
      <c r="E158" s="63"/>
      <c r="F158" s="63"/>
      <c r="G158" s="63"/>
      <c r="H158" s="63"/>
      <c r="I158" s="63"/>
      <c r="J158" s="63"/>
      <c r="K158" s="63"/>
      <c r="L158" s="63"/>
      <c r="M158" s="63"/>
      <c r="N158" s="63"/>
      <c r="O158" s="63"/>
      <c r="P158" s="47"/>
      <c r="Q158" s="64"/>
      <c r="R158" s="64"/>
      <c r="S158" s="64"/>
      <c r="T158" s="64"/>
      <c r="U158" s="64"/>
      <c r="V158" s="64"/>
      <c r="W158" s="64"/>
      <c r="X158" s="64"/>
      <c r="Y158" s="64"/>
      <c r="Z158" s="64"/>
    </row>
    <row r="159" spans="1:26" ht="10.5" customHeight="1" x14ac:dyDescent="0.3">
      <c r="A159" s="64"/>
      <c r="B159" s="63"/>
      <c r="C159" s="63"/>
      <c r="D159" s="63"/>
      <c r="E159" s="63"/>
      <c r="F159" s="63"/>
      <c r="G159" s="63"/>
      <c r="H159" s="63"/>
      <c r="I159" s="63"/>
      <c r="J159" s="63"/>
      <c r="K159" s="63"/>
      <c r="L159" s="63"/>
      <c r="M159" s="63"/>
      <c r="N159" s="63"/>
      <c r="O159" s="63"/>
      <c r="P159" s="47"/>
      <c r="Q159" s="64"/>
      <c r="R159" s="64"/>
      <c r="S159" s="64"/>
      <c r="T159" s="64"/>
      <c r="U159" s="64"/>
      <c r="V159" s="64"/>
      <c r="W159" s="64"/>
      <c r="X159" s="64"/>
      <c r="Y159" s="64"/>
      <c r="Z159" s="64"/>
    </row>
    <row r="160" spans="1:26" ht="10.5" customHeight="1" x14ac:dyDescent="0.3">
      <c r="A160" s="64"/>
      <c r="B160" s="63"/>
      <c r="C160" s="63"/>
      <c r="D160" s="63"/>
      <c r="E160" s="63"/>
      <c r="F160" s="63"/>
      <c r="G160" s="63"/>
      <c r="H160" s="63"/>
      <c r="I160" s="63"/>
      <c r="J160" s="63"/>
      <c r="K160" s="63"/>
      <c r="L160" s="63"/>
      <c r="M160" s="63"/>
      <c r="N160" s="63"/>
      <c r="O160" s="63"/>
      <c r="P160" s="47"/>
      <c r="Q160" s="64"/>
      <c r="R160" s="64"/>
      <c r="S160" s="64"/>
      <c r="T160" s="64"/>
      <c r="U160" s="64"/>
      <c r="V160" s="64"/>
      <c r="W160" s="64"/>
      <c r="X160" s="64"/>
      <c r="Y160" s="64"/>
      <c r="Z160" s="64"/>
    </row>
    <row r="161" spans="1:26" ht="10.5" customHeight="1" x14ac:dyDescent="0.3">
      <c r="A161" s="64"/>
      <c r="B161" s="63"/>
      <c r="C161" s="63"/>
      <c r="D161" s="63"/>
      <c r="E161" s="63"/>
      <c r="F161" s="63"/>
      <c r="G161" s="63"/>
      <c r="H161" s="63"/>
      <c r="I161" s="63"/>
      <c r="J161" s="63"/>
      <c r="K161" s="63"/>
      <c r="L161" s="63"/>
      <c r="M161" s="63"/>
      <c r="N161" s="63"/>
      <c r="O161" s="63"/>
      <c r="P161" s="47"/>
      <c r="Q161" s="64"/>
      <c r="R161" s="64"/>
      <c r="S161" s="64"/>
      <c r="T161" s="64"/>
      <c r="U161" s="64"/>
      <c r="V161" s="64"/>
      <c r="W161" s="64"/>
      <c r="X161" s="64"/>
      <c r="Y161" s="64"/>
      <c r="Z161" s="64"/>
    </row>
    <row r="162" spans="1:26" ht="10.5" customHeight="1" x14ac:dyDescent="0.3">
      <c r="A162" s="64"/>
      <c r="B162" s="63"/>
      <c r="C162" s="63"/>
      <c r="D162" s="63"/>
      <c r="E162" s="63"/>
      <c r="F162" s="63"/>
      <c r="G162" s="63"/>
      <c r="H162" s="63"/>
      <c r="I162" s="63"/>
      <c r="J162" s="63"/>
      <c r="K162" s="63"/>
      <c r="L162" s="63"/>
      <c r="M162" s="63"/>
      <c r="N162" s="63"/>
      <c r="O162" s="63"/>
      <c r="P162" s="47"/>
      <c r="Q162" s="64"/>
      <c r="R162" s="64"/>
      <c r="S162" s="64"/>
      <c r="T162" s="64"/>
      <c r="U162" s="64"/>
      <c r="V162" s="64"/>
      <c r="W162" s="64"/>
      <c r="X162" s="64"/>
      <c r="Y162" s="64"/>
      <c r="Z162" s="64"/>
    </row>
    <row r="163" spans="1:26" ht="10.5" customHeight="1" x14ac:dyDescent="0.3">
      <c r="A163" s="64"/>
      <c r="B163" s="63"/>
      <c r="C163" s="63"/>
      <c r="D163" s="63"/>
      <c r="E163" s="63"/>
      <c r="F163" s="63"/>
      <c r="G163" s="63"/>
      <c r="H163" s="63"/>
      <c r="I163" s="63"/>
      <c r="J163" s="63"/>
      <c r="K163" s="63"/>
      <c r="L163" s="63"/>
      <c r="M163" s="63"/>
      <c r="N163" s="63"/>
      <c r="O163" s="63"/>
      <c r="P163" s="47"/>
      <c r="Q163" s="64"/>
      <c r="R163" s="64"/>
      <c r="S163" s="64"/>
      <c r="T163" s="64"/>
      <c r="U163" s="64"/>
      <c r="V163" s="64"/>
      <c r="W163" s="64"/>
      <c r="X163" s="64"/>
      <c r="Y163" s="64"/>
      <c r="Z163" s="64"/>
    </row>
    <row r="164" spans="1:26" ht="10.5" customHeight="1" x14ac:dyDescent="0.3">
      <c r="A164" s="64"/>
      <c r="B164" s="63"/>
      <c r="C164" s="63"/>
      <c r="D164" s="63"/>
      <c r="E164" s="63"/>
      <c r="F164" s="63"/>
      <c r="G164" s="63"/>
      <c r="H164" s="63"/>
      <c r="I164" s="63"/>
      <c r="J164" s="63"/>
      <c r="K164" s="63"/>
      <c r="L164" s="63"/>
      <c r="M164" s="63"/>
      <c r="N164" s="63"/>
      <c r="O164" s="63"/>
      <c r="P164" s="47"/>
      <c r="Q164" s="64"/>
      <c r="R164" s="64"/>
      <c r="S164" s="64"/>
      <c r="T164" s="64"/>
      <c r="U164" s="64"/>
      <c r="V164" s="64"/>
      <c r="W164" s="64"/>
      <c r="X164" s="64"/>
      <c r="Y164" s="64"/>
      <c r="Z164" s="64"/>
    </row>
    <row r="165" spans="1:26" ht="10.5" customHeight="1" x14ac:dyDescent="0.3">
      <c r="A165" s="64"/>
      <c r="B165" s="63"/>
      <c r="C165" s="63"/>
      <c r="D165" s="63"/>
      <c r="E165" s="63"/>
      <c r="F165" s="63"/>
      <c r="G165" s="63"/>
      <c r="H165" s="63"/>
      <c r="I165" s="63"/>
      <c r="J165" s="63"/>
      <c r="K165" s="63"/>
      <c r="L165" s="63"/>
      <c r="M165" s="63"/>
      <c r="N165" s="63"/>
      <c r="O165" s="63"/>
      <c r="P165" s="47"/>
      <c r="Q165" s="64"/>
      <c r="R165" s="64"/>
      <c r="S165" s="64"/>
      <c r="T165" s="64"/>
      <c r="U165" s="64"/>
      <c r="V165" s="64"/>
      <c r="W165" s="64"/>
      <c r="X165" s="64"/>
      <c r="Y165" s="64"/>
      <c r="Z165" s="64"/>
    </row>
    <row r="166" spans="1:26" ht="10.5" customHeight="1" x14ac:dyDescent="0.3">
      <c r="A166" s="64"/>
      <c r="B166" s="63"/>
      <c r="C166" s="63"/>
      <c r="D166" s="63"/>
      <c r="E166" s="63"/>
      <c r="F166" s="63"/>
      <c r="G166" s="63"/>
      <c r="H166" s="63"/>
      <c r="I166" s="63"/>
      <c r="J166" s="63"/>
      <c r="K166" s="63"/>
      <c r="L166" s="63"/>
      <c r="M166" s="63"/>
      <c r="N166" s="63"/>
      <c r="O166" s="63"/>
      <c r="P166" s="47"/>
      <c r="Q166" s="64"/>
      <c r="R166" s="64"/>
      <c r="S166" s="64"/>
      <c r="T166" s="64"/>
      <c r="U166" s="64"/>
      <c r="V166" s="64"/>
      <c r="W166" s="64"/>
      <c r="X166" s="64"/>
      <c r="Y166" s="64"/>
      <c r="Z166" s="64"/>
    </row>
    <row r="167" spans="1:26" ht="10.5" customHeight="1" x14ac:dyDescent="0.3">
      <c r="A167" s="64"/>
      <c r="B167" s="63"/>
      <c r="C167" s="63"/>
      <c r="D167" s="63"/>
      <c r="E167" s="63"/>
      <c r="F167" s="63"/>
      <c r="G167" s="63"/>
      <c r="H167" s="63"/>
      <c r="I167" s="63"/>
      <c r="J167" s="63"/>
      <c r="K167" s="63"/>
      <c r="L167" s="63"/>
      <c r="M167" s="63"/>
      <c r="N167" s="63"/>
      <c r="O167" s="63"/>
      <c r="P167" s="47"/>
      <c r="Q167" s="64"/>
      <c r="R167" s="64"/>
      <c r="S167" s="64"/>
      <c r="T167" s="64"/>
      <c r="U167" s="64"/>
      <c r="V167" s="64"/>
      <c r="W167" s="64"/>
      <c r="X167" s="64"/>
      <c r="Y167" s="64"/>
      <c r="Z167" s="64"/>
    </row>
    <row r="168" spans="1:26" ht="10.5" customHeight="1" x14ac:dyDescent="0.3">
      <c r="A168" s="64"/>
      <c r="B168" s="63"/>
      <c r="C168" s="63"/>
      <c r="D168" s="63"/>
      <c r="E168" s="63"/>
      <c r="F168" s="63"/>
      <c r="G168" s="63"/>
      <c r="H168" s="63"/>
      <c r="I168" s="63"/>
      <c r="J168" s="63"/>
      <c r="K168" s="63"/>
      <c r="L168" s="63"/>
      <c r="M168" s="63"/>
      <c r="N168" s="63"/>
      <c r="O168" s="63"/>
      <c r="P168" s="47"/>
      <c r="Q168" s="64"/>
      <c r="R168" s="64"/>
      <c r="S168" s="64"/>
      <c r="T168" s="64"/>
      <c r="U168" s="64"/>
      <c r="V168" s="64"/>
      <c r="W168" s="64"/>
      <c r="X168" s="64"/>
      <c r="Y168" s="64"/>
      <c r="Z168" s="64"/>
    </row>
    <row r="169" spans="1:26" ht="10.5" customHeight="1" x14ac:dyDescent="0.3">
      <c r="A169" s="64"/>
      <c r="B169" s="63"/>
      <c r="C169" s="63"/>
      <c r="D169" s="63"/>
      <c r="E169" s="63"/>
      <c r="F169" s="63"/>
      <c r="G169" s="63"/>
      <c r="H169" s="63"/>
      <c r="I169" s="63"/>
      <c r="J169" s="63"/>
      <c r="K169" s="63"/>
      <c r="L169" s="63"/>
      <c r="M169" s="63"/>
      <c r="N169" s="63"/>
      <c r="O169" s="63"/>
      <c r="P169" s="47"/>
      <c r="Q169" s="64"/>
      <c r="R169" s="64"/>
      <c r="S169" s="64"/>
      <c r="T169" s="64"/>
      <c r="U169" s="64"/>
      <c r="V169" s="64"/>
      <c r="W169" s="64"/>
      <c r="X169" s="64"/>
      <c r="Y169" s="64"/>
      <c r="Z169" s="64"/>
    </row>
    <row r="170" spans="1:26" ht="10.5" customHeight="1" x14ac:dyDescent="0.3">
      <c r="A170" s="64"/>
      <c r="B170" s="63"/>
      <c r="C170" s="63"/>
      <c r="D170" s="63"/>
      <c r="E170" s="63"/>
      <c r="F170" s="63"/>
      <c r="G170" s="63"/>
      <c r="H170" s="63"/>
      <c r="I170" s="63"/>
      <c r="J170" s="63"/>
      <c r="K170" s="63"/>
      <c r="L170" s="63"/>
      <c r="M170" s="63"/>
      <c r="N170" s="63"/>
      <c r="O170" s="63"/>
      <c r="P170" s="47"/>
      <c r="Q170" s="64"/>
      <c r="R170" s="64"/>
      <c r="S170" s="64"/>
      <c r="T170" s="64"/>
      <c r="U170" s="64"/>
      <c r="V170" s="64"/>
      <c r="W170" s="64"/>
      <c r="X170" s="64"/>
      <c r="Y170" s="64"/>
      <c r="Z170" s="64"/>
    </row>
    <row r="171" spans="1:26" ht="10.5" customHeight="1" x14ac:dyDescent="0.3">
      <c r="A171" s="64"/>
      <c r="B171" s="63"/>
      <c r="C171" s="63"/>
      <c r="D171" s="63"/>
      <c r="E171" s="63"/>
      <c r="F171" s="63"/>
      <c r="G171" s="63"/>
      <c r="H171" s="63"/>
      <c r="I171" s="63"/>
      <c r="J171" s="63"/>
      <c r="K171" s="63"/>
      <c r="L171" s="63"/>
      <c r="M171" s="63"/>
      <c r="N171" s="63"/>
      <c r="O171" s="63"/>
      <c r="P171" s="47"/>
      <c r="Q171" s="64"/>
      <c r="R171" s="64"/>
      <c r="S171" s="64"/>
      <c r="T171" s="64"/>
      <c r="U171" s="64"/>
      <c r="V171" s="64"/>
      <c r="W171" s="64"/>
      <c r="X171" s="64"/>
      <c r="Y171" s="64"/>
      <c r="Z171" s="64"/>
    </row>
    <row r="172" spans="1:26" ht="10.5" customHeight="1" x14ac:dyDescent="0.3">
      <c r="A172" s="64"/>
      <c r="B172" s="63"/>
      <c r="C172" s="63"/>
      <c r="D172" s="63"/>
      <c r="E172" s="63"/>
      <c r="F172" s="63"/>
      <c r="G172" s="63"/>
      <c r="H172" s="63"/>
      <c r="I172" s="63"/>
      <c r="J172" s="63"/>
      <c r="K172" s="63"/>
      <c r="L172" s="63"/>
      <c r="M172" s="63"/>
      <c r="N172" s="63"/>
      <c r="O172" s="63"/>
      <c r="P172" s="47"/>
      <c r="Q172" s="64"/>
      <c r="R172" s="64"/>
      <c r="S172" s="64"/>
      <c r="T172" s="64"/>
      <c r="U172" s="64"/>
      <c r="V172" s="64"/>
      <c r="W172" s="64"/>
      <c r="X172" s="64"/>
      <c r="Y172" s="64"/>
      <c r="Z172" s="64"/>
    </row>
    <row r="173" spans="1:26" ht="10.5" customHeight="1" x14ac:dyDescent="0.3">
      <c r="A173" s="64"/>
      <c r="B173" s="63"/>
      <c r="C173" s="63"/>
      <c r="D173" s="63"/>
      <c r="E173" s="63"/>
      <c r="F173" s="63"/>
      <c r="G173" s="63"/>
      <c r="H173" s="63"/>
      <c r="I173" s="63"/>
      <c r="J173" s="63"/>
      <c r="K173" s="63"/>
      <c r="L173" s="63"/>
      <c r="M173" s="63"/>
      <c r="N173" s="63"/>
      <c r="O173" s="63"/>
      <c r="P173" s="47"/>
      <c r="Q173" s="64"/>
      <c r="R173" s="64"/>
      <c r="S173" s="64"/>
      <c r="T173" s="64"/>
      <c r="U173" s="64"/>
      <c r="V173" s="64"/>
      <c r="W173" s="64"/>
      <c r="X173" s="64"/>
      <c r="Y173" s="64"/>
      <c r="Z173" s="64"/>
    </row>
    <row r="174" spans="1:26" ht="10.5" customHeight="1" x14ac:dyDescent="0.3">
      <c r="A174" s="64"/>
      <c r="B174" s="63"/>
      <c r="C174" s="63"/>
      <c r="D174" s="63"/>
      <c r="E174" s="63"/>
      <c r="F174" s="63"/>
      <c r="G174" s="63"/>
      <c r="H174" s="63"/>
      <c r="I174" s="63"/>
      <c r="J174" s="63"/>
      <c r="K174" s="63"/>
      <c r="L174" s="63"/>
      <c r="M174" s="63"/>
      <c r="N174" s="63"/>
      <c r="O174" s="63"/>
      <c r="P174" s="47"/>
      <c r="Q174" s="64"/>
      <c r="R174" s="64"/>
      <c r="S174" s="64"/>
      <c r="T174" s="64"/>
      <c r="U174" s="64"/>
      <c r="V174" s="64"/>
      <c r="W174" s="64"/>
      <c r="X174" s="64"/>
      <c r="Y174" s="64"/>
      <c r="Z174" s="64"/>
    </row>
    <row r="175" spans="1:26" ht="10.5" customHeight="1" x14ac:dyDescent="0.3">
      <c r="A175" s="64"/>
      <c r="B175" s="63"/>
      <c r="C175" s="63"/>
      <c r="D175" s="63"/>
      <c r="E175" s="63"/>
      <c r="F175" s="63"/>
      <c r="G175" s="63"/>
      <c r="H175" s="63"/>
      <c r="I175" s="63"/>
      <c r="J175" s="63"/>
      <c r="K175" s="63"/>
      <c r="L175" s="63"/>
      <c r="M175" s="63"/>
      <c r="N175" s="63"/>
      <c r="O175" s="63"/>
      <c r="P175" s="47"/>
      <c r="Q175" s="64"/>
      <c r="R175" s="64"/>
      <c r="S175" s="64"/>
      <c r="T175" s="64"/>
      <c r="U175" s="64"/>
      <c r="V175" s="64"/>
      <c r="W175" s="64"/>
      <c r="X175" s="64"/>
      <c r="Y175" s="64"/>
      <c r="Z175" s="64"/>
    </row>
    <row r="176" spans="1:26" ht="10.5" customHeight="1" x14ac:dyDescent="0.3">
      <c r="A176" s="64"/>
      <c r="B176" s="63"/>
      <c r="C176" s="63"/>
      <c r="D176" s="63"/>
      <c r="E176" s="63"/>
      <c r="F176" s="63"/>
      <c r="G176" s="63"/>
      <c r="H176" s="63"/>
      <c r="I176" s="63"/>
      <c r="J176" s="63"/>
      <c r="K176" s="63"/>
      <c r="L176" s="63"/>
      <c r="M176" s="63"/>
      <c r="N176" s="63"/>
      <c r="O176" s="63"/>
      <c r="P176" s="47"/>
      <c r="Q176" s="64"/>
      <c r="R176" s="64"/>
      <c r="S176" s="64"/>
      <c r="T176" s="64"/>
      <c r="U176" s="64"/>
      <c r="V176" s="64"/>
      <c r="W176" s="64"/>
      <c r="X176" s="64"/>
      <c r="Y176" s="64"/>
      <c r="Z176" s="64"/>
    </row>
    <row r="177" spans="1:26" ht="10.5" customHeight="1" x14ac:dyDescent="0.3">
      <c r="A177" s="64"/>
      <c r="B177" s="63"/>
      <c r="C177" s="63"/>
      <c r="D177" s="63"/>
      <c r="E177" s="63"/>
      <c r="F177" s="63"/>
      <c r="G177" s="63"/>
      <c r="H177" s="63"/>
      <c r="I177" s="63"/>
      <c r="J177" s="63"/>
      <c r="K177" s="63"/>
      <c r="L177" s="63"/>
      <c r="M177" s="63"/>
      <c r="N177" s="63"/>
      <c r="O177" s="63"/>
      <c r="P177" s="47"/>
      <c r="Q177" s="64"/>
      <c r="R177" s="64"/>
      <c r="S177" s="64"/>
      <c r="T177" s="64"/>
      <c r="U177" s="64"/>
      <c r="V177" s="64"/>
      <c r="W177" s="64"/>
      <c r="X177" s="64"/>
      <c r="Y177" s="64"/>
      <c r="Z177" s="64"/>
    </row>
    <row r="178" spans="1:26" ht="10.5" customHeight="1" x14ac:dyDescent="0.3">
      <c r="A178" s="64"/>
      <c r="B178" s="63"/>
      <c r="C178" s="63"/>
      <c r="D178" s="63"/>
      <c r="E178" s="63"/>
      <c r="F178" s="63"/>
      <c r="G178" s="63"/>
      <c r="H178" s="63"/>
      <c r="I178" s="63"/>
      <c r="J178" s="63"/>
      <c r="K178" s="63"/>
      <c r="L178" s="63"/>
      <c r="M178" s="63"/>
      <c r="N178" s="63"/>
      <c r="O178" s="63"/>
      <c r="P178" s="47"/>
      <c r="Q178" s="64"/>
      <c r="R178" s="64"/>
      <c r="S178" s="64"/>
      <c r="T178" s="64"/>
      <c r="U178" s="64"/>
      <c r="V178" s="64"/>
      <c r="W178" s="64"/>
      <c r="X178" s="64"/>
      <c r="Y178" s="64"/>
      <c r="Z178" s="64"/>
    </row>
    <row r="179" spans="1:26" ht="10.5" customHeight="1" x14ac:dyDescent="0.3">
      <c r="A179" s="64"/>
      <c r="B179" s="63"/>
      <c r="C179" s="63"/>
      <c r="D179" s="63"/>
      <c r="E179" s="63"/>
      <c r="F179" s="63"/>
      <c r="G179" s="63"/>
      <c r="H179" s="63"/>
      <c r="I179" s="63"/>
      <c r="J179" s="63"/>
      <c r="K179" s="63"/>
      <c r="L179" s="63"/>
      <c r="M179" s="63"/>
      <c r="N179" s="63"/>
      <c r="O179" s="63"/>
      <c r="P179" s="47"/>
      <c r="Q179" s="64"/>
      <c r="R179" s="64"/>
      <c r="S179" s="64"/>
      <c r="T179" s="64"/>
      <c r="U179" s="64"/>
      <c r="V179" s="64"/>
      <c r="W179" s="64"/>
      <c r="X179" s="64"/>
      <c r="Y179" s="64"/>
      <c r="Z179" s="64"/>
    </row>
    <row r="180" spans="1:26" ht="10.5" customHeight="1" x14ac:dyDescent="0.3">
      <c r="A180" s="64"/>
      <c r="B180" s="63"/>
      <c r="C180" s="63"/>
      <c r="D180" s="63"/>
      <c r="E180" s="63"/>
      <c r="F180" s="63"/>
      <c r="G180" s="63"/>
      <c r="H180" s="63"/>
      <c r="I180" s="63"/>
      <c r="J180" s="63"/>
      <c r="K180" s="63"/>
      <c r="L180" s="63"/>
      <c r="M180" s="63"/>
      <c r="N180" s="63"/>
      <c r="O180" s="63"/>
      <c r="P180" s="47"/>
      <c r="Q180" s="64"/>
      <c r="R180" s="64"/>
      <c r="S180" s="64"/>
      <c r="T180" s="64"/>
      <c r="U180" s="64"/>
      <c r="V180" s="64"/>
      <c r="W180" s="64"/>
      <c r="X180" s="64"/>
      <c r="Y180" s="64"/>
      <c r="Z180" s="64"/>
    </row>
    <row r="181" spans="1:26" ht="10.5" customHeight="1" x14ac:dyDescent="0.3">
      <c r="A181" s="64"/>
      <c r="B181" s="63"/>
      <c r="C181" s="63"/>
      <c r="D181" s="63"/>
      <c r="E181" s="63"/>
      <c r="F181" s="63"/>
      <c r="G181" s="63"/>
      <c r="H181" s="63"/>
      <c r="I181" s="63"/>
      <c r="J181" s="63"/>
      <c r="K181" s="63"/>
      <c r="L181" s="63"/>
      <c r="M181" s="63"/>
      <c r="N181" s="63"/>
      <c r="O181" s="63"/>
      <c r="P181" s="47"/>
      <c r="Q181" s="64"/>
      <c r="R181" s="64"/>
      <c r="S181" s="64"/>
      <c r="T181" s="64"/>
      <c r="U181" s="64"/>
      <c r="V181" s="64"/>
      <c r="W181" s="64"/>
      <c r="X181" s="64"/>
      <c r="Y181" s="64"/>
      <c r="Z181" s="64"/>
    </row>
    <row r="182" spans="1:26" ht="10.5" customHeight="1" x14ac:dyDescent="0.3">
      <c r="A182" s="64"/>
      <c r="B182" s="63"/>
      <c r="C182" s="63"/>
      <c r="D182" s="63"/>
      <c r="E182" s="63"/>
      <c r="F182" s="63"/>
      <c r="G182" s="63"/>
      <c r="H182" s="63"/>
      <c r="I182" s="63"/>
      <c r="J182" s="63"/>
      <c r="K182" s="63"/>
      <c r="L182" s="63"/>
      <c r="M182" s="63"/>
      <c r="N182" s="63"/>
      <c r="O182" s="63"/>
      <c r="P182" s="47"/>
      <c r="Q182" s="64"/>
      <c r="R182" s="64"/>
      <c r="S182" s="64"/>
      <c r="T182" s="64"/>
      <c r="U182" s="64"/>
      <c r="V182" s="64"/>
      <c r="W182" s="64"/>
      <c r="X182" s="64"/>
      <c r="Y182" s="64"/>
      <c r="Z182" s="64"/>
    </row>
    <row r="183" spans="1:26" ht="10.5" customHeight="1" x14ac:dyDescent="0.3">
      <c r="A183" s="64"/>
      <c r="B183" s="63"/>
      <c r="C183" s="63"/>
      <c r="D183" s="63"/>
      <c r="E183" s="63"/>
      <c r="F183" s="63"/>
      <c r="G183" s="63"/>
      <c r="H183" s="63"/>
      <c r="I183" s="63"/>
      <c r="J183" s="63"/>
      <c r="K183" s="63"/>
      <c r="L183" s="63"/>
      <c r="M183" s="63"/>
      <c r="N183" s="63"/>
      <c r="O183" s="63"/>
      <c r="P183" s="47"/>
      <c r="Q183" s="64"/>
      <c r="R183" s="64"/>
      <c r="S183" s="64"/>
      <c r="T183" s="64"/>
      <c r="U183" s="64"/>
      <c r="V183" s="64"/>
      <c r="W183" s="64"/>
      <c r="X183" s="64"/>
      <c r="Y183" s="64"/>
      <c r="Z183" s="64"/>
    </row>
    <row r="184" spans="1:26" ht="10.5" customHeight="1" x14ac:dyDescent="0.3">
      <c r="A184" s="64"/>
      <c r="B184" s="63"/>
      <c r="C184" s="63"/>
      <c r="D184" s="63"/>
      <c r="E184" s="63"/>
      <c r="F184" s="63"/>
      <c r="G184" s="63"/>
      <c r="H184" s="63"/>
      <c r="I184" s="63"/>
      <c r="J184" s="63"/>
      <c r="K184" s="63"/>
      <c r="L184" s="63"/>
      <c r="M184" s="63"/>
      <c r="N184" s="63"/>
      <c r="O184" s="63"/>
      <c r="P184" s="47"/>
      <c r="Q184" s="64"/>
      <c r="R184" s="64"/>
      <c r="S184" s="64"/>
      <c r="T184" s="64"/>
      <c r="U184" s="64"/>
      <c r="V184" s="64"/>
      <c r="W184" s="64"/>
      <c r="X184" s="64"/>
      <c r="Y184" s="64"/>
      <c r="Z184" s="64"/>
    </row>
    <row r="185" spans="1:26" ht="10.5" customHeight="1" x14ac:dyDescent="0.3">
      <c r="A185" s="64"/>
      <c r="B185" s="63"/>
      <c r="C185" s="63"/>
      <c r="D185" s="63"/>
      <c r="E185" s="63"/>
      <c r="F185" s="63"/>
      <c r="G185" s="63"/>
      <c r="H185" s="63"/>
      <c r="I185" s="63"/>
      <c r="J185" s="63"/>
      <c r="K185" s="63"/>
      <c r="L185" s="63"/>
      <c r="M185" s="63"/>
      <c r="N185" s="63"/>
      <c r="O185" s="63"/>
      <c r="P185" s="47"/>
      <c r="Q185" s="64"/>
      <c r="R185" s="64"/>
      <c r="S185" s="64"/>
      <c r="T185" s="64"/>
      <c r="U185" s="64"/>
      <c r="V185" s="64"/>
      <c r="W185" s="64"/>
      <c r="X185" s="64"/>
      <c r="Y185" s="64"/>
      <c r="Z185" s="64"/>
    </row>
    <row r="186" spans="1:26" ht="10.5" customHeight="1" x14ac:dyDescent="0.3">
      <c r="A186" s="64"/>
      <c r="B186" s="63"/>
      <c r="C186" s="63"/>
      <c r="D186" s="63"/>
      <c r="E186" s="63"/>
      <c r="F186" s="63"/>
      <c r="G186" s="63"/>
      <c r="H186" s="63"/>
      <c r="I186" s="63"/>
      <c r="J186" s="63"/>
      <c r="K186" s="63"/>
      <c r="L186" s="63"/>
      <c r="M186" s="63"/>
      <c r="N186" s="63"/>
      <c r="O186" s="63"/>
      <c r="P186" s="47"/>
      <c r="Q186" s="64"/>
      <c r="R186" s="64"/>
      <c r="S186" s="64"/>
      <c r="T186" s="64"/>
      <c r="U186" s="64"/>
      <c r="V186" s="64"/>
      <c r="W186" s="64"/>
      <c r="X186" s="64"/>
      <c r="Y186" s="64"/>
      <c r="Z186" s="64"/>
    </row>
    <row r="187" spans="1:26" ht="10.5" customHeight="1" x14ac:dyDescent="0.3">
      <c r="A187" s="64"/>
      <c r="B187" s="63"/>
      <c r="C187" s="63"/>
      <c r="D187" s="63"/>
      <c r="E187" s="63"/>
      <c r="F187" s="63"/>
      <c r="G187" s="63"/>
      <c r="H187" s="63"/>
      <c r="I187" s="63"/>
      <c r="J187" s="63"/>
      <c r="K187" s="63"/>
      <c r="L187" s="63"/>
      <c r="M187" s="63"/>
      <c r="N187" s="63"/>
      <c r="O187" s="63"/>
      <c r="P187" s="47"/>
      <c r="Q187" s="64"/>
      <c r="R187" s="64"/>
      <c r="S187" s="64"/>
      <c r="T187" s="64"/>
      <c r="U187" s="64"/>
      <c r="V187" s="64"/>
      <c r="W187" s="64"/>
      <c r="X187" s="64"/>
      <c r="Y187" s="64"/>
      <c r="Z187" s="64"/>
    </row>
    <row r="188" spans="1:26" ht="10.5" customHeight="1" x14ac:dyDescent="0.3">
      <c r="A188" s="64"/>
      <c r="B188" s="63"/>
      <c r="C188" s="63"/>
      <c r="D188" s="63"/>
      <c r="E188" s="63"/>
      <c r="F188" s="63"/>
      <c r="G188" s="63"/>
      <c r="H188" s="63"/>
      <c r="I188" s="63"/>
      <c r="J188" s="63"/>
      <c r="K188" s="63"/>
      <c r="L188" s="63"/>
      <c r="M188" s="63"/>
      <c r="N188" s="63"/>
      <c r="O188" s="63"/>
      <c r="P188" s="47"/>
      <c r="Q188" s="64"/>
      <c r="R188" s="64"/>
      <c r="S188" s="64"/>
      <c r="T188" s="64"/>
      <c r="U188" s="64"/>
      <c r="V188" s="64"/>
      <c r="W188" s="64"/>
      <c r="X188" s="64"/>
      <c r="Y188" s="64"/>
      <c r="Z188" s="64"/>
    </row>
    <row r="189" spans="1:26" ht="10.5" customHeight="1" x14ac:dyDescent="0.3">
      <c r="A189" s="64"/>
      <c r="B189" s="63"/>
      <c r="C189" s="63"/>
      <c r="D189" s="63"/>
      <c r="E189" s="63"/>
      <c r="F189" s="63"/>
      <c r="G189" s="63"/>
      <c r="H189" s="63"/>
      <c r="I189" s="63"/>
      <c r="J189" s="63"/>
      <c r="K189" s="63"/>
      <c r="L189" s="63"/>
      <c r="M189" s="63"/>
      <c r="N189" s="63"/>
      <c r="O189" s="63"/>
      <c r="P189" s="47"/>
      <c r="Q189" s="64"/>
      <c r="R189" s="64"/>
      <c r="S189" s="64"/>
      <c r="T189" s="64"/>
      <c r="U189" s="64"/>
      <c r="V189" s="64"/>
      <c r="W189" s="64"/>
      <c r="X189" s="64"/>
      <c r="Y189" s="64"/>
      <c r="Z189" s="64"/>
    </row>
    <row r="190" spans="1:26" ht="10.5" customHeight="1" x14ac:dyDescent="0.3">
      <c r="A190" s="64"/>
      <c r="B190" s="63"/>
      <c r="C190" s="63"/>
      <c r="D190" s="63"/>
      <c r="E190" s="63"/>
      <c r="F190" s="63"/>
      <c r="G190" s="63"/>
      <c r="H190" s="63"/>
      <c r="I190" s="63"/>
      <c r="J190" s="63"/>
      <c r="K190" s="63"/>
      <c r="L190" s="63"/>
      <c r="M190" s="63"/>
      <c r="N190" s="63"/>
      <c r="O190" s="63"/>
      <c r="P190" s="47"/>
      <c r="Q190" s="64"/>
      <c r="R190" s="64"/>
      <c r="S190" s="64"/>
      <c r="T190" s="64"/>
      <c r="U190" s="64"/>
      <c r="V190" s="64"/>
      <c r="W190" s="64"/>
      <c r="X190" s="64"/>
      <c r="Y190" s="64"/>
      <c r="Z190" s="64"/>
    </row>
    <row r="191" spans="1:26" ht="10.5" customHeight="1" x14ac:dyDescent="0.3">
      <c r="A191" s="64"/>
      <c r="B191" s="63"/>
      <c r="C191" s="63"/>
      <c r="D191" s="63"/>
      <c r="E191" s="63"/>
      <c r="F191" s="63"/>
      <c r="G191" s="63"/>
      <c r="H191" s="63"/>
      <c r="I191" s="63"/>
      <c r="J191" s="63"/>
      <c r="K191" s="63"/>
      <c r="L191" s="63"/>
      <c r="M191" s="63"/>
      <c r="N191" s="63"/>
      <c r="O191" s="63"/>
      <c r="P191" s="47"/>
      <c r="Q191" s="64"/>
      <c r="R191" s="64"/>
      <c r="S191" s="64"/>
      <c r="T191" s="64"/>
      <c r="U191" s="64"/>
      <c r="V191" s="64"/>
      <c r="W191" s="64"/>
      <c r="X191" s="64"/>
      <c r="Y191" s="64"/>
      <c r="Z191" s="64"/>
    </row>
    <row r="192" spans="1:26" ht="10.5" customHeight="1" x14ac:dyDescent="0.3">
      <c r="A192" s="64"/>
      <c r="B192" s="63"/>
      <c r="C192" s="63"/>
      <c r="D192" s="63"/>
      <c r="E192" s="63"/>
      <c r="F192" s="63"/>
      <c r="G192" s="63"/>
      <c r="H192" s="63"/>
      <c r="I192" s="63"/>
      <c r="J192" s="63"/>
      <c r="K192" s="63"/>
      <c r="L192" s="63"/>
      <c r="M192" s="63"/>
      <c r="N192" s="63"/>
      <c r="O192" s="63"/>
      <c r="P192" s="47"/>
      <c r="Q192" s="64"/>
      <c r="R192" s="64"/>
      <c r="S192" s="64"/>
      <c r="T192" s="64"/>
      <c r="U192" s="64"/>
      <c r="V192" s="64"/>
      <c r="W192" s="64"/>
      <c r="X192" s="64"/>
      <c r="Y192" s="64"/>
      <c r="Z192" s="64"/>
    </row>
    <row r="193" spans="1:26" ht="10.5" customHeight="1" x14ac:dyDescent="0.3">
      <c r="A193" s="64"/>
      <c r="B193" s="63"/>
      <c r="C193" s="63"/>
      <c r="D193" s="63"/>
      <c r="E193" s="63"/>
      <c r="F193" s="63"/>
      <c r="G193" s="63"/>
      <c r="H193" s="63"/>
      <c r="I193" s="63"/>
      <c r="J193" s="63"/>
      <c r="K193" s="63"/>
      <c r="L193" s="63"/>
      <c r="M193" s="63"/>
      <c r="N193" s="63"/>
      <c r="O193" s="63"/>
      <c r="P193" s="47"/>
      <c r="Q193" s="64"/>
      <c r="R193" s="64"/>
      <c r="S193" s="64"/>
      <c r="T193" s="64"/>
      <c r="U193" s="64"/>
      <c r="V193" s="64"/>
      <c r="W193" s="64"/>
      <c r="X193" s="64"/>
      <c r="Y193" s="64"/>
      <c r="Z193" s="64"/>
    </row>
    <row r="194" spans="1:26" ht="10.5" customHeight="1" x14ac:dyDescent="0.3">
      <c r="A194" s="64"/>
      <c r="B194" s="63"/>
      <c r="C194" s="63"/>
      <c r="D194" s="63"/>
      <c r="E194" s="63"/>
      <c r="F194" s="63"/>
      <c r="G194" s="63"/>
      <c r="H194" s="63"/>
      <c r="I194" s="63"/>
      <c r="J194" s="63"/>
      <c r="K194" s="63"/>
      <c r="L194" s="63"/>
      <c r="M194" s="63"/>
      <c r="N194" s="63"/>
      <c r="O194" s="63"/>
      <c r="P194" s="47"/>
      <c r="Q194" s="64"/>
      <c r="R194" s="64"/>
      <c r="S194" s="64"/>
      <c r="T194" s="64"/>
      <c r="U194" s="64"/>
      <c r="V194" s="64"/>
      <c r="W194" s="64"/>
      <c r="X194" s="64"/>
      <c r="Y194" s="64"/>
      <c r="Z194" s="64"/>
    </row>
    <row r="195" spans="1:26" ht="10.5" customHeight="1" x14ac:dyDescent="0.3">
      <c r="A195" s="64"/>
      <c r="B195" s="63"/>
      <c r="C195" s="63"/>
      <c r="D195" s="63"/>
      <c r="E195" s="63"/>
      <c r="F195" s="63"/>
      <c r="G195" s="63"/>
      <c r="H195" s="63"/>
      <c r="I195" s="63"/>
      <c r="J195" s="63"/>
      <c r="K195" s="63"/>
      <c r="L195" s="63"/>
      <c r="M195" s="63"/>
      <c r="N195" s="63"/>
      <c r="O195" s="63"/>
      <c r="P195" s="47"/>
      <c r="Q195" s="64"/>
      <c r="R195" s="64"/>
      <c r="S195" s="64"/>
      <c r="T195" s="64"/>
      <c r="U195" s="64"/>
      <c r="V195" s="64"/>
      <c r="W195" s="64"/>
      <c r="X195" s="64"/>
      <c r="Y195" s="64"/>
      <c r="Z195" s="64"/>
    </row>
    <row r="196" spans="1:26" ht="10.5" customHeight="1" x14ac:dyDescent="0.3">
      <c r="A196" s="64"/>
      <c r="B196" s="63"/>
      <c r="C196" s="63"/>
      <c r="D196" s="63"/>
      <c r="E196" s="63"/>
      <c r="F196" s="63"/>
      <c r="G196" s="63"/>
      <c r="H196" s="63"/>
      <c r="I196" s="63"/>
      <c r="J196" s="63"/>
      <c r="K196" s="63"/>
      <c r="L196" s="63"/>
      <c r="M196" s="63"/>
      <c r="N196" s="63"/>
      <c r="O196" s="63"/>
      <c r="P196" s="47"/>
      <c r="Q196" s="64"/>
      <c r="R196" s="64"/>
      <c r="S196" s="64"/>
      <c r="T196" s="64"/>
      <c r="U196" s="64"/>
      <c r="V196" s="64"/>
      <c r="W196" s="64"/>
      <c r="X196" s="64"/>
      <c r="Y196" s="64"/>
      <c r="Z196" s="64"/>
    </row>
    <row r="197" spans="1:26" ht="10.5" customHeight="1" x14ac:dyDescent="0.3">
      <c r="A197" s="64"/>
      <c r="B197" s="63"/>
      <c r="C197" s="63"/>
      <c r="D197" s="63"/>
      <c r="E197" s="63"/>
      <c r="F197" s="63"/>
      <c r="G197" s="63"/>
      <c r="H197" s="63"/>
      <c r="I197" s="63"/>
      <c r="J197" s="63"/>
      <c r="K197" s="63"/>
      <c r="L197" s="63"/>
      <c r="M197" s="63"/>
      <c r="N197" s="63"/>
      <c r="O197" s="63"/>
      <c r="P197" s="47"/>
      <c r="Q197" s="64"/>
      <c r="R197" s="64"/>
      <c r="S197" s="64"/>
      <c r="T197" s="64"/>
      <c r="U197" s="64"/>
      <c r="V197" s="64"/>
      <c r="W197" s="64"/>
      <c r="X197" s="64"/>
      <c r="Y197" s="64"/>
      <c r="Z197" s="64"/>
    </row>
    <row r="198" spans="1:26" ht="10.5" customHeight="1" x14ac:dyDescent="0.3">
      <c r="A198" s="64"/>
      <c r="B198" s="63"/>
      <c r="C198" s="63"/>
      <c r="D198" s="63"/>
      <c r="E198" s="63"/>
      <c r="F198" s="63"/>
      <c r="G198" s="63"/>
      <c r="H198" s="63"/>
      <c r="I198" s="63"/>
      <c r="J198" s="63"/>
      <c r="K198" s="63"/>
      <c r="L198" s="63"/>
      <c r="M198" s="63"/>
      <c r="N198" s="63"/>
      <c r="O198" s="63"/>
      <c r="P198" s="47"/>
      <c r="Q198" s="64"/>
      <c r="R198" s="64"/>
      <c r="S198" s="64"/>
      <c r="T198" s="64"/>
      <c r="U198" s="64"/>
      <c r="V198" s="64"/>
      <c r="W198" s="64"/>
      <c r="X198" s="64"/>
      <c r="Y198" s="64"/>
      <c r="Z198" s="64"/>
    </row>
    <row r="199" spans="1:26" ht="10.5" customHeight="1" x14ac:dyDescent="0.3">
      <c r="A199" s="64"/>
      <c r="B199" s="63"/>
      <c r="C199" s="63"/>
      <c r="D199" s="63"/>
      <c r="E199" s="63"/>
      <c r="F199" s="63"/>
      <c r="G199" s="63"/>
      <c r="H199" s="63"/>
      <c r="I199" s="63"/>
      <c r="J199" s="63"/>
      <c r="K199" s="63"/>
      <c r="L199" s="63"/>
      <c r="M199" s="63"/>
      <c r="N199" s="63"/>
      <c r="O199" s="63"/>
      <c r="P199" s="47"/>
      <c r="Q199" s="64"/>
      <c r="R199" s="64"/>
      <c r="S199" s="64"/>
      <c r="T199" s="64"/>
      <c r="U199" s="64"/>
      <c r="V199" s="64"/>
      <c r="W199" s="64"/>
      <c r="X199" s="64"/>
      <c r="Y199" s="64"/>
      <c r="Z199" s="64"/>
    </row>
    <row r="200" spans="1:26" ht="10.5" customHeight="1" x14ac:dyDescent="0.3">
      <c r="A200" s="64"/>
      <c r="B200" s="63"/>
      <c r="C200" s="63"/>
      <c r="D200" s="63"/>
      <c r="E200" s="63"/>
      <c r="F200" s="63"/>
      <c r="G200" s="63"/>
      <c r="H200" s="63"/>
      <c r="I200" s="63"/>
      <c r="J200" s="63"/>
      <c r="K200" s="63"/>
      <c r="L200" s="63"/>
      <c r="M200" s="63"/>
      <c r="N200" s="63"/>
      <c r="O200" s="63"/>
      <c r="P200" s="47"/>
      <c r="Q200" s="64"/>
      <c r="R200" s="64"/>
      <c r="S200" s="64"/>
      <c r="T200" s="64"/>
      <c r="U200" s="64"/>
      <c r="V200" s="64"/>
      <c r="W200" s="64"/>
      <c r="X200" s="64"/>
      <c r="Y200" s="64"/>
      <c r="Z200" s="64"/>
    </row>
    <row r="201" spans="1:26" ht="10.5" customHeight="1" x14ac:dyDescent="0.3">
      <c r="A201" s="64"/>
      <c r="B201" s="63"/>
      <c r="C201" s="63"/>
      <c r="D201" s="63"/>
      <c r="E201" s="63"/>
      <c r="F201" s="63"/>
      <c r="G201" s="63"/>
      <c r="H201" s="63"/>
      <c r="I201" s="63"/>
      <c r="J201" s="63"/>
      <c r="K201" s="63"/>
      <c r="L201" s="63"/>
      <c r="M201" s="63"/>
      <c r="N201" s="63"/>
      <c r="O201" s="63"/>
      <c r="P201" s="47"/>
      <c r="Q201" s="64"/>
      <c r="R201" s="64"/>
      <c r="S201" s="64"/>
      <c r="T201" s="64"/>
      <c r="U201" s="64"/>
      <c r="V201" s="64"/>
      <c r="W201" s="64"/>
      <c r="X201" s="64"/>
      <c r="Y201" s="64"/>
      <c r="Z201" s="64"/>
    </row>
    <row r="202" spans="1:26" ht="10.5" customHeight="1" x14ac:dyDescent="0.3">
      <c r="A202" s="64"/>
      <c r="B202" s="63"/>
      <c r="C202" s="63"/>
      <c r="D202" s="63"/>
      <c r="E202" s="63"/>
      <c r="F202" s="63"/>
      <c r="G202" s="63"/>
      <c r="H202" s="63"/>
      <c r="I202" s="63"/>
      <c r="J202" s="63"/>
      <c r="K202" s="63"/>
      <c r="L202" s="63"/>
      <c r="M202" s="63"/>
      <c r="N202" s="63"/>
      <c r="O202" s="63"/>
      <c r="P202" s="47"/>
      <c r="Q202" s="64"/>
      <c r="R202" s="64"/>
      <c r="S202" s="64"/>
      <c r="T202" s="64"/>
      <c r="U202" s="64"/>
      <c r="V202" s="64"/>
      <c r="W202" s="64"/>
      <c r="X202" s="64"/>
      <c r="Y202" s="64"/>
      <c r="Z202" s="64"/>
    </row>
    <row r="203" spans="1:26" ht="10.5" customHeight="1" x14ac:dyDescent="0.3">
      <c r="A203" s="64"/>
      <c r="B203" s="63"/>
      <c r="C203" s="63"/>
      <c r="D203" s="63"/>
      <c r="E203" s="63"/>
      <c r="F203" s="63"/>
      <c r="G203" s="63"/>
      <c r="H203" s="63"/>
      <c r="I203" s="63"/>
      <c r="J203" s="63"/>
      <c r="K203" s="63"/>
      <c r="L203" s="63"/>
      <c r="M203" s="63"/>
      <c r="N203" s="63"/>
      <c r="O203" s="63"/>
      <c r="P203" s="47"/>
      <c r="Q203" s="64"/>
      <c r="R203" s="64"/>
      <c r="S203" s="64"/>
      <c r="T203" s="64"/>
      <c r="U203" s="64"/>
      <c r="V203" s="64"/>
      <c r="W203" s="64"/>
      <c r="X203" s="64"/>
      <c r="Y203" s="64"/>
      <c r="Z203" s="64"/>
    </row>
    <row r="204" spans="1:26" ht="10.5" customHeight="1" x14ac:dyDescent="0.3">
      <c r="A204" s="64"/>
      <c r="B204" s="63"/>
      <c r="C204" s="63"/>
      <c r="D204" s="63"/>
      <c r="E204" s="63"/>
      <c r="F204" s="63"/>
      <c r="G204" s="63"/>
      <c r="H204" s="63"/>
      <c r="I204" s="63"/>
      <c r="J204" s="63"/>
      <c r="K204" s="63"/>
      <c r="L204" s="63"/>
      <c r="M204" s="63"/>
      <c r="N204" s="63"/>
      <c r="O204" s="63"/>
      <c r="P204" s="47"/>
      <c r="Q204" s="64"/>
      <c r="R204" s="64"/>
      <c r="S204" s="64"/>
      <c r="T204" s="64"/>
      <c r="U204" s="64"/>
      <c r="V204" s="64"/>
      <c r="W204" s="64"/>
      <c r="X204" s="64"/>
      <c r="Y204" s="64"/>
      <c r="Z204" s="64"/>
    </row>
    <row r="205" spans="1:26" ht="10.5" customHeight="1" x14ac:dyDescent="0.3">
      <c r="A205" s="64"/>
      <c r="B205" s="63"/>
      <c r="C205" s="63"/>
      <c r="D205" s="63"/>
      <c r="E205" s="63"/>
      <c r="F205" s="63"/>
      <c r="G205" s="63"/>
      <c r="H205" s="63"/>
      <c r="I205" s="63"/>
      <c r="J205" s="63"/>
      <c r="K205" s="63"/>
      <c r="L205" s="63"/>
      <c r="M205" s="63"/>
      <c r="N205" s="63"/>
      <c r="O205" s="63"/>
      <c r="P205" s="47"/>
      <c r="Q205" s="64"/>
      <c r="R205" s="64"/>
      <c r="S205" s="64"/>
      <c r="T205" s="64"/>
      <c r="U205" s="64"/>
      <c r="V205" s="64"/>
      <c r="W205" s="64"/>
      <c r="X205" s="64"/>
      <c r="Y205" s="64"/>
      <c r="Z205" s="64"/>
    </row>
    <row r="206" spans="1:26" ht="10.5" customHeight="1" x14ac:dyDescent="0.3">
      <c r="A206" s="64"/>
      <c r="B206" s="63"/>
      <c r="C206" s="63"/>
      <c r="D206" s="63"/>
      <c r="E206" s="63"/>
      <c r="F206" s="63"/>
      <c r="G206" s="63"/>
      <c r="H206" s="63"/>
      <c r="I206" s="63"/>
      <c r="J206" s="63"/>
      <c r="K206" s="63"/>
      <c r="L206" s="63"/>
      <c r="M206" s="63"/>
      <c r="N206" s="63"/>
      <c r="O206" s="63"/>
      <c r="P206" s="47"/>
      <c r="Q206" s="64"/>
      <c r="R206" s="64"/>
      <c r="S206" s="64"/>
      <c r="T206" s="64"/>
      <c r="U206" s="64"/>
      <c r="V206" s="64"/>
      <c r="W206" s="64"/>
      <c r="X206" s="64"/>
      <c r="Y206" s="64"/>
      <c r="Z206" s="64"/>
    </row>
    <row r="207" spans="1:26" ht="10.5" customHeight="1" x14ac:dyDescent="0.3">
      <c r="A207" s="64"/>
      <c r="B207" s="63"/>
      <c r="C207" s="63"/>
      <c r="D207" s="63"/>
      <c r="E207" s="63"/>
      <c r="F207" s="63"/>
      <c r="G207" s="63"/>
      <c r="H207" s="63"/>
      <c r="I207" s="63"/>
      <c r="J207" s="63"/>
      <c r="K207" s="63"/>
      <c r="L207" s="63"/>
      <c r="M207" s="63"/>
      <c r="N207" s="63"/>
      <c r="O207" s="63"/>
      <c r="P207" s="47"/>
      <c r="Q207" s="64"/>
      <c r="R207" s="64"/>
      <c r="S207" s="64"/>
      <c r="T207" s="64"/>
      <c r="U207" s="64"/>
      <c r="V207" s="64"/>
      <c r="W207" s="64"/>
      <c r="X207" s="64"/>
      <c r="Y207" s="64"/>
      <c r="Z207" s="64"/>
    </row>
    <row r="208" spans="1:26" ht="10.5" customHeight="1" x14ac:dyDescent="0.3">
      <c r="A208" s="64"/>
      <c r="B208" s="63"/>
      <c r="C208" s="63"/>
      <c r="D208" s="63"/>
      <c r="E208" s="63"/>
      <c r="F208" s="63"/>
      <c r="G208" s="63"/>
      <c r="H208" s="63"/>
      <c r="I208" s="63"/>
      <c r="J208" s="63"/>
      <c r="K208" s="63"/>
      <c r="L208" s="63"/>
      <c r="M208" s="63"/>
      <c r="N208" s="63"/>
      <c r="O208" s="63"/>
      <c r="P208" s="47"/>
      <c r="Q208" s="64"/>
      <c r="R208" s="64"/>
      <c r="S208" s="64"/>
      <c r="T208" s="64"/>
      <c r="U208" s="64"/>
      <c r="V208" s="64"/>
      <c r="W208" s="64"/>
      <c r="X208" s="64"/>
      <c r="Y208" s="64"/>
      <c r="Z208" s="64"/>
    </row>
    <row r="209" spans="1:26" ht="10.5" customHeight="1" x14ac:dyDescent="0.3">
      <c r="A209" s="64"/>
      <c r="B209" s="63"/>
      <c r="C209" s="63"/>
      <c r="D209" s="63"/>
      <c r="E209" s="63"/>
      <c r="F209" s="63"/>
      <c r="G209" s="63"/>
      <c r="H209" s="63"/>
      <c r="I209" s="63"/>
      <c r="J209" s="63"/>
      <c r="K209" s="63"/>
      <c r="L209" s="63"/>
      <c r="M209" s="63"/>
      <c r="N209" s="63"/>
      <c r="O209" s="63"/>
      <c r="P209" s="47"/>
      <c r="Q209" s="64"/>
      <c r="R209" s="64"/>
      <c r="S209" s="64"/>
      <c r="T209" s="64"/>
      <c r="U209" s="64"/>
      <c r="V209" s="64"/>
      <c r="W209" s="64"/>
      <c r="X209" s="64"/>
      <c r="Y209" s="64"/>
      <c r="Z209" s="64"/>
    </row>
    <row r="210" spans="1:26" ht="10.5" customHeight="1" x14ac:dyDescent="0.3">
      <c r="A210" s="64"/>
      <c r="B210" s="63"/>
      <c r="C210" s="63"/>
      <c r="D210" s="63"/>
      <c r="E210" s="63"/>
      <c r="F210" s="63"/>
      <c r="G210" s="63"/>
      <c r="H210" s="63"/>
      <c r="I210" s="63"/>
      <c r="J210" s="63"/>
      <c r="K210" s="63"/>
      <c r="L210" s="63"/>
      <c r="M210" s="63"/>
      <c r="N210" s="63"/>
      <c r="O210" s="63"/>
      <c r="P210" s="47"/>
      <c r="Q210" s="64"/>
      <c r="R210" s="64"/>
      <c r="S210" s="64"/>
      <c r="T210" s="64"/>
      <c r="U210" s="64"/>
      <c r="V210" s="64"/>
      <c r="W210" s="64"/>
      <c r="X210" s="64"/>
      <c r="Y210" s="64"/>
      <c r="Z210" s="64"/>
    </row>
    <row r="211" spans="1:26" ht="10.5" customHeight="1" x14ac:dyDescent="0.3">
      <c r="A211" s="64"/>
      <c r="B211" s="63"/>
      <c r="C211" s="63"/>
      <c r="D211" s="63"/>
      <c r="E211" s="63"/>
      <c r="F211" s="63"/>
      <c r="G211" s="63"/>
      <c r="H211" s="63"/>
      <c r="I211" s="63"/>
      <c r="J211" s="63"/>
      <c r="K211" s="63"/>
      <c r="L211" s="63"/>
      <c r="M211" s="63"/>
      <c r="N211" s="63"/>
      <c r="O211" s="63"/>
      <c r="P211" s="47"/>
      <c r="Q211" s="64"/>
      <c r="R211" s="64"/>
      <c r="S211" s="64"/>
      <c r="T211" s="64"/>
      <c r="U211" s="64"/>
      <c r="V211" s="64"/>
      <c r="W211" s="64"/>
      <c r="X211" s="64"/>
      <c r="Y211" s="64"/>
      <c r="Z211" s="64"/>
    </row>
    <row r="212" spans="1:26" ht="10.5" customHeight="1" x14ac:dyDescent="0.3">
      <c r="A212" s="64"/>
      <c r="B212" s="63"/>
      <c r="C212" s="63"/>
      <c r="D212" s="63"/>
      <c r="E212" s="63"/>
      <c r="F212" s="63"/>
      <c r="G212" s="63"/>
      <c r="H212" s="63"/>
      <c r="I212" s="63"/>
      <c r="J212" s="63"/>
      <c r="K212" s="63"/>
      <c r="L212" s="63"/>
      <c r="M212" s="63"/>
      <c r="N212" s="63"/>
      <c r="O212" s="63"/>
      <c r="P212" s="47"/>
      <c r="Q212" s="64"/>
      <c r="R212" s="64"/>
      <c r="S212" s="64"/>
      <c r="T212" s="64"/>
      <c r="U212" s="64"/>
      <c r="V212" s="64"/>
      <c r="W212" s="64"/>
      <c r="X212" s="64"/>
      <c r="Y212" s="64"/>
      <c r="Z212" s="64"/>
    </row>
    <row r="213" spans="1:26" ht="10.5" customHeight="1" x14ac:dyDescent="0.3">
      <c r="A213" s="64"/>
      <c r="B213" s="63"/>
      <c r="C213" s="63"/>
      <c r="D213" s="63"/>
      <c r="E213" s="63"/>
      <c r="F213" s="63"/>
      <c r="G213" s="63"/>
      <c r="H213" s="63"/>
      <c r="I213" s="63"/>
      <c r="J213" s="63"/>
      <c r="K213" s="63"/>
      <c r="L213" s="63"/>
      <c r="M213" s="63"/>
      <c r="N213" s="63"/>
      <c r="O213" s="63"/>
      <c r="P213" s="47"/>
      <c r="Q213" s="64"/>
      <c r="R213" s="64"/>
      <c r="S213" s="64"/>
      <c r="T213" s="64"/>
      <c r="U213" s="64"/>
      <c r="V213" s="64"/>
      <c r="W213" s="64"/>
      <c r="X213" s="64"/>
      <c r="Y213" s="64"/>
      <c r="Z213" s="64"/>
    </row>
    <row r="214" spans="1:26" ht="10.5" customHeight="1" x14ac:dyDescent="0.3">
      <c r="A214" s="64"/>
      <c r="B214" s="63"/>
      <c r="C214" s="63"/>
      <c r="D214" s="63"/>
      <c r="E214" s="63"/>
      <c r="F214" s="63"/>
      <c r="G214" s="63"/>
      <c r="H214" s="63"/>
      <c r="I214" s="63"/>
      <c r="J214" s="63"/>
      <c r="K214" s="63"/>
      <c r="L214" s="63"/>
      <c r="M214" s="63"/>
      <c r="N214" s="63"/>
      <c r="O214" s="63"/>
      <c r="P214" s="47"/>
      <c r="Q214" s="64"/>
      <c r="R214" s="64"/>
      <c r="S214" s="64"/>
      <c r="T214" s="64"/>
      <c r="U214" s="64"/>
      <c r="V214" s="64"/>
      <c r="W214" s="64"/>
      <c r="X214" s="64"/>
      <c r="Y214" s="64"/>
      <c r="Z214" s="64"/>
    </row>
    <row r="215" spans="1:26" ht="10.5" customHeight="1" x14ac:dyDescent="0.3">
      <c r="A215" s="64"/>
      <c r="B215" s="63"/>
      <c r="C215" s="63"/>
      <c r="D215" s="63"/>
      <c r="E215" s="63"/>
      <c r="F215" s="63"/>
      <c r="G215" s="63"/>
      <c r="H215" s="63"/>
      <c r="I215" s="63"/>
      <c r="J215" s="63"/>
      <c r="K215" s="63"/>
      <c r="L215" s="63"/>
      <c r="M215" s="63"/>
      <c r="N215" s="63"/>
      <c r="O215" s="63"/>
      <c r="P215" s="47"/>
      <c r="Q215" s="64"/>
      <c r="R215" s="64"/>
      <c r="S215" s="64"/>
      <c r="T215" s="64"/>
      <c r="U215" s="64"/>
      <c r="V215" s="64"/>
      <c r="W215" s="64"/>
      <c r="X215" s="64"/>
      <c r="Y215" s="64"/>
      <c r="Z215" s="64"/>
    </row>
    <row r="216" spans="1:26" ht="10.5" customHeight="1" x14ac:dyDescent="0.3">
      <c r="A216" s="64"/>
      <c r="B216" s="63"/>
      <c r="C216" s="63"/>
      <c r="D216" s="63"/>
      <c r="E216" s="63"/>
      <c r="F216" s="63"/>
      <c r="G216" s="63"/>
      <c r="H216" s="63"/>
      <c r="I216" s="63"/>
      <c r="J216" s="63"/>
      <c r="K216" s="63"/>
      <c r="L216" s="63"/>
      <c r="M216" s="63"/>
      <c r="N216" s="63"/>
      <c r="O216" s="63"/>
      <c r="P216" s="47"/>
      <c r="Q216" s="64"/>
      <c r="R216" s="64"/>
      <c r="S216" s="64"/>
      <c r="T216" s="64"/>
      <c r="U216" s="64"/>
      <c r="V216" s="64"/>
      <c r="W216" s="64"/>
      <c r="X216" s="64"/>
      <c r="Y216" s="64"/>
      <c r="Z216" s="64"/>
    </row>
    <row r="217" spans="1:26" ht="10.5" customHeight="1" x14ac:dyDescent="0.3">
      <c r="A217" s="64"/>
      <c r="B217" s="63"/>
      <c r="C217" s="63"/>
      <c r="D217" s="63"/>
      <c r="E217" s="63"/>
      <c r="F217" s="63"/>
      <c r="G217" s="63"/>
      <c r="H217" s="63"/>
      <c r="I217" s="63"/>
      <c r="J217" s="63"/>
      <c r="K217" s="63"/>
      <c r="L217" s="63"/>
      <c r="M217" s="63"/>
      <c r="N217" s="63"/>
      <c r="O217" s="63"/>
      <c r="P217" s="47"/>
      <c r="Q217" s="64"/>
      <c r="R217" s="64"/>
      <c r="S217" s="64"/>
      <c r="T217" s="64"/>
      <c r="U217" s="64"/>
      <c r="V217" s="64"/>
      <c r="W217" s="64"/>
      <c r="X217" s="64"/>
      <c r="Y217" s="64"/>
      <c r="Z217" s="64"/>
    </row>
    <row r="218" spans="1:26" ht="10.5" customHeight="1" x14ac:dyDescent="0.3">
      <c r="A218" s="64"/>
      <c r="B218" s="63"/>
      <c r="C218" s="63"/>
      <c r="D218" s="63"/>
      <c r="E218" s="63"/>
      <c r="F218" s="63"/>
      <c r="G218" s="63"/>
      <c r="H218" s="63"/>
      <c r="I218" s="63"/>
      <c r="J218" s="63"/>
      <c r="K218" s="63"/>
      <c r="L218" s="63"/>
      <c r="M218" s="63"/>
      <c r="N218" s="63"/>
      <c r="O218" s="63"/>
      <c r="P218" s="47"/>
      <c r="Q218" s="64"/>
      <c r="R218" s="64"/>
      <c r="S218" s="64"/>
      <c r="T218" s="64"/>
      <c r="U218" s="64"/>
      <c r="V218" s="64"/>
      <c r="W218" s="64"/>
      <c r="X218" s="64"/>
      <c r="Y218" s="64"/>
      <c r="Z218" s="64"/>
    </row>
    <row r="219" spans="1:26" ht="10.5" customHeight="1" x14ac:dyDescent="0.3">
      <c r="A219" s="64"/>
      <c r="B219" s="63"/>
      <c r="C219" s="63"/>
      <c r="D219" s="63"/>
      <c r="E219" s="63"/>
      <c r="F219" s="63"/>
      <c r="G219" s="63"/>
      <c r="H219" s="63"/>
      <c r="I219" s="63"/>
      <c r="J219" s="63"/>
      <c r="K219" s="63"/>
      <c r="L219" s="63"/>
      <c r="M219" s="63"/>
      <c r="N219" s="63"/>
      <c r="O219" s="63"/>
      <c r="P219" s="47"/>
      <c r="Q219" s="64"/>
      <c r="R219" s="64"/>
      <c r="S219" s="64"/>
      <c r="T219" s="64"/>
      <c r="U219" s="64"/>
      <c r="V219" s="64"/>
      <c r="W219" s="64"/>
      <c r="X219" s="64"/>
      <c r="Y219" s="64"/>
      <c r="Z219" s="64"/>
    </row>
    <row r="220" spans="1:26" ht="10.5" customHeight="1" x14ac:dyDescent="0.3">
      <c r="A220" s="64"/>
      <c r="B220" s="63"/>
      <c r="C220" s="63"/>
      <c r="D220" s="63"/>
      <c r="E220" s="63"/>
      <c r="F220" s="63"/>
      <c r="G220" s="63"/>
      <c r="H220" s="63"/>
      <c r="I220" s="63"/>
      <c r="J220" s="63"/>
      <c r="K220" s="63"/>
      <c r="L220" s="63"/>
      <c r="M220" s="63"/>
      <c r="N220" s="63"/>
      <c r="O220" s="63"/>
      <c r="P220" s="47"/>
      <c r="Q220" s="64"/>
      <c r="R220" s="64"/>
      <c r="S220" s="64"/>
      <c r="T220" s="64"/>
      <c r="U220" s="64"/>
      <c r="V220" s="64"/>
      <c r="W220" s="64"/>
      <c r="X220" s="64"/>
      <c r="Y220" s="64"/>
      <c r="Z220" s="64"/>
    </row>
    <row r="221" spans="1:26" ht="10.5" customHeight="1" x14ac:dyDescent="0.3">
      <c r="A221" s="64"/>
      <c r="B221" s="63"/>
      <c r="C221" s="63"/>
      <c r="D221" s="63"/>
      <c r="E221" s="63"/>
      <c r="F221" s="63"/>
      <c r="G221" s="63"/>
      <c r="H221" s="63"/>
      <c r="I221" s="63"/>
      <c r="J221" s="63"/>
      <c r="K221" s="63"/>
      <c r="L221" s="63"/>
      <c r="M221" s="63"/>
      <c r="N221" s="63"/>
      <c r="O221" s="63"/>
      <c r="P221" s="47"/>
      <c r="Q221" s="64"/>
      <c r="R221" s="64"/>
      <c r="S221" s="64"/>
      <c r="T221" s="64"/>
      <c r="U221" s="64"/>
      <c r="V221" s="64"/>
      <c r="W221" s="64"/>
      <c r="X221" s="64"/>
      <c r="Y221" s="64"/>
      <c r="Z221" s="64"/>
    </row>
    <row r="222" spans="1:26" ht="10.5" customHeight="1" x14ac:dyDescent="0.3">
      <c r="A222" s="64"/>
      <c r="B222" s="63"/>
      <c r="C222" s="63"/>
      <c r="D222" s="63"/>
      <c r="E222" s="63"/>
      <c r="F222" s="63"/>
      <c r="G222" s="63"/>
      <c r="H222" s="63"/>
      <c r="I222" s="63"/>
      <c r="J222" s="63"/>
      <c r="K222" s="63"/>
      <c r="L222" s="63"/>
      <c r="M222" s="63"/>
      <c r="N222" s="63"/>
      <c r="O222" s="63"/>
      <c r="P222" s="47"/>
      <c r="Q222" s="64"/>
      <c r="R222" s="64"/>
      <c r="S222" s="64"/>
      <c r="T222" s="64"/>
      <c r="U222" s="64"/>
      <c r="V222" s="64"/>
      <c r="W222" s="64"/>
      <c r="X222" s="64"/>
      <c r="Y222" s="64"/>
      <c r="Z222" s="64"/>
    </row>
    <row r="223" spans="1:26" ht="10.5" customHeight="1" x14ac:dyDescent="0.3">
      <c r="A223" s="64"/>
      <c r="B223" s="63"/>
      <c r="C223" s="63"/>
      <c r="D223" s="63"/>
      <c r="E223" s="63"/>
      <c r="F223" s="63"/>
      <c r="G223" s="63"/>
      <c r="H223" s="63"/>
      <c r="I223" s="63"/>
      <c r="J223" s="63"/>
      <c r="K223" s="63"/>
      <c r="L223" s="63"/>
      <c r="M223" s="63"/>
      <c r="N223" s="63"/>
      <c r="O223" s="63"/>
      <c r="P223" s="47"/>
      <c r="Q223" s="64"/>
      <c r="R223" s="64"/>
      <c r="S223" s="64"/>
      <c r="T223" s="64"/>
      <c r="U223" s="64"/>
      <c r="V223" s="64"/>
      <c r="W223" s="64"/>
      <c r="X223" s="64"/>
      <c r="Y223" s="64"/>
      <c r="Z223" s="64"/>
    </row>
    <row r="224" spans="1:26" ht="10.5" customHeight="1" x14ac:dyDescent="0.3">
      <c r="A224" s="64"/>
      <c r="B224" s="63"/>
      <c r="C224" s="63"/>
      <c r="D224" s="63"/>
      <c r="E224" s="63"/>
      <c r="F224" s="63"/>
      <c r="G224" s="63"/>
      <c r="H224" s="63"/>
      <c r="I224" s="63"/>
      <c r="J224" s="63"/>
      <c r="K224" s="63"/>
      <c r="L224" s="63"/>
      <c r="M224" s="63"/>
      <c r="N224" s="63"/>
      <c r="O224" s="63"/>
      <c r="P224" s="47"/>
      <c r="Q224" s="64"/>
      <c r="R224" s="64"/>
      <c r="S224" s="64"/>
      <c r="T224" s="64"/>
      <c r="U224" s="64"/>
      <c r="V224" s="64"/>
      <c r="W224" s="64"/>
      <c r="X224" s="64"/>
      <c r="Y224" s="64"/>
      <c r="Z224" s="64"/>
    </row>
    <row r="225" spans="1:26" ht="10.5" customHeight="1" x14ac:dyDescent="0.3">
      <c r="A225" s="64"/>
      <c r="B225" s="63"/>
      <c r="C225" s="63"/>
      <c r="D225" s="63"/>
      <c r="E225" s="63"/>
      <c r="F225" s="63"/>
      <c r="G225" s="63"/>
      <c r="H225" s="63"/>
      <c r="I225" s="63"/>
      <c r="J225" s="63"/>
      <c r="K225" s="63"/>
      <c r="L225" s="63"/>
      <c r="M225" s="63"/>
      <c r="N225" s="63"/>
      <c r="O225" s="63"/>
      <c r="P225" s="47"/>
      <c r="Q225" s="64"/>
      <c r="R225" s="64"/>
      <c r="S225" s="64"/>
      <c r="T225" s="64"/>
      <c r="U225" s="64"/>
      <c r="V225" s="64"/>
      <c r="W225" s="64"/>
      <c r="X225" s="64"/>
      <c r="Y225" s="64"/>
      <c r="Z225" s="64"/>
    </row>
    <row r="226" spans="1:26" ht="10.5" customHeight="1" x14ac:dyDescent="0.3">
      <c r="A226" s="64"/>
      <c r="B226" s="63"/>
      <c r="C226" s="63"/>
      <c r="D226" s="63"/>
      <c r="E226" s="63"/>
      <c r="F226" s="63"/>
      <c r="G226" s="63"/>
      <c r="H226" s="63"/>
      <c r="I226" s="63"/>
      <c r="J226" s="63"/>
      <c r="K226" s="63"/>
      <c r="L226" s="63"/>
      <c r="M226" s="63"/>
      <c r="N226" s="63"/>
      <c r="O226" s="63"/>
      <c r="P226" s="47"/>
      <c r="Q226" s="64"/>
      <c r="R226" s="64"/>
      <c r="S226" s="64"/>
      <c r="T226" s="64"/>
      <c r="U226" s="64"/>
      <c r="V226" s="64"/>
      <c r="W226" s="64"/>
      <c r="X226" s="64"/>
      <c r="Y226" s="64"/>
      <c r="Z226" s="64"/>
    </row>
    <row r="227" spans="1:26" ht="10.5" customHeight="1" x14ac:dyDescent="0.3">
      <c r="A227" s="64"/>
      <c r="B227" s="63"/>
      <c r="C227" s="63"/>
      <c r="D227" s="63"/>
      <c r="E227" s="63"/>
      <c r="F227" s="63"/>
      <c r="G227" s="63"/>
      <c r="H227" s="63"/>
      <c r="I227" s="63"/>
      <c r="J227" s="63"/>
      <c r="K227" s="63"/>
      <c r="L227" s="63"/>
      <c r="M227" s="63"/>
      <c r="N227" s="63"/>
      <c r="O227" s="63"/>
      <c r="P227" s="47"/>
      <c r="Q227" s="64"/>
      <c r="R227" s="64"/>
      <c r="S227" s="64"/>
      <c r="T227" s="64"/>
      <c r="U227" s="64"/>
      <c r="V227" s="64"/>
      <c r="W227" s="64"/>
      <c r="X227" s="64"/>
      <c r="Y227" s="64"/>
      <c r="Z227" s="64"/>
    </row>
    <row r="228" spans="1:26" ht="10.5" customHeight="1" x14ac:dyDescent="0.3">
      <c r="A228" s="64"/>
      <c r="B228" s="63"/>
      <c r="C228" s="63"/>
      <c r="D228" s="63"/>
      <c r="E228" s="63"/>
      <c r="F228" s="63"/>
      <c r="G228" s="63"/>
      <c r="H228" s="63"/>
      <c r="I228" s="63"/>
      <c r="J228" s="63"/>
      <c r="K228" s="63"/>
      <c r="L228" s="63"/>
      <c r="M228" s="63"/>
      <c r="N228" s="63"/>
      <c r="O228" s="63"/>
      <c r="P228" s="47"/>
      <c r="Q228" s="64"/>
      <c r="R228" s="64"/>
      <c r="S228" s="64"/>
      <c r="T228" s="64"/>
      <c r="U228" s="64"/>
      <c r="V228" s="64"/>
      <c r="W228" s="64"/>
      <c r="X228" s="64"/>
      <c r="Y228" s="64"/>
      <c r="Z228" s="64"/>
    </row>
    <row r="229" spans="1:26" ht="15.75" customHeight="1" x14ac:dyDescent="0.3"/>
    <row r="230" spans="1:26" ht="15.75" customHeight="1" x14ac:dyDescent="0.3"/>
    <row r="231" spans="1:26" ht="15.75" customHeight="1" x14ac:dyDescent="0.3"/>
    <row r="232" spans="1:26" ht="15.75" customHeight="1" x14ac:dyDescent="0.3"/>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s="29" customFormat="1" ht="15.75" customHeight="1" x14ac:dyDescent="0.3"/>
    <row r="242" s="29" customFormat="1" ht="15.75" customHeight="1" x14ac:dyDescent="0.3"/>
    <row r="243" s="29" customFormat="1" ht="15.75" customHeight="1" x14ac:dyDescent="0.3"/>
    <row r="244" s="29" customFormat="1" ht="15.75" customHeight="1" x14ac:dyDescent="0.3"/>
    <row r="245" s="29" customFormat="1" ht="15.75" customHeight="1" x14ac:dyDescent="0.3"/>
    <row r="246" s="29" customFormat="1" ht="15.75" customHeight="1" x14ac:dyDescent="0.3"/>
    <row r="247" s="29" customFormat="1" ht="15.75" customHeight="1" x14ac:dyDescent="0.3"/>
    <row r="248" s="29" customFormat="1" ht="15.75" customHeight="1" x14ac:dyDescent="0.3"/>
    <row r="249" s="29" customFormat="1" ht="15.75" customHeight="1" x14ac:dyDescent="0.3"/>
    <row r="250" s="29" customFormat="1" ht="15.75" customHeight="1" x14ac:dyDescent="0.3"/>
    <row r="251" s="29" customFormat="1" ht="15.75" customHeight="1" x14ac:dyDescent="0.3"/>
    <row r="252" s="29" customFormat="1" ht="15.75" customHeight="1" x14ac:dyDescent="0.3"/>
    <row r="253" s="29" customFormat="1" ht="15.75" customHeight="1" x14ac:dyDescent="0.3"/>
    <row r="254" s="29" customFormat="1" ht="15.75" customHeight="1" x14ac:dyDescent="0.3"/>
    <row r="255" s="29" customFormat="1" ht="15.75" customHeight="1" x14ac:dyDescent="0.3"/>
    <row r="256" s="29" customFormat="1" ht="15.75" customHeight="1" x14ac:dyDescent="0.3"/>
    <row r="257" s="29" customFormat="1" ht="15.75" customHeight="1" x14ac:dyDescent="0.3"/>
    <row r="258" s="29" customFormat="1" ht="15.75" customHeight="1" x14ac:dyDescent="0.3"/>
    <row r="259" s="29" customFormat="1" ht="15.75" customHeight="1" x14ac:dyDescent="0.3"/>
    <row r="260" s="29" customFormat="1" ht="15.75" customHeight="1" x14ac:dyDescent="0.3"/>
    <row r="261" s="29" customFormat="1" ht="15.75" customHeight="1" x14ac:dyDescent="0.3"/>
    <row r="262" s="29" customFormat="1" ht="15.75" customHeight="1" x14ac:dyDescent="0.3"/>
    <row r="263" s="29" customFormat="1" ht="15.75" customHeight="1" x14ac:dyDescent="0.3"/>
    <row r="264" s="29" customFormat="1" ht="15.75" customHeight="1" x14ac:dyDescent="0.3"/>
    <row r="265" s="29" customFormat="1" ht="15.75" customHeight="1" x14ac:dyDescent="0.3"/>
    <row r="266" s="29" customFormat="1" ht="15.75" customHeight="1" x14ac:dyDescent="0.3"/>
    <row r="267" s="29" customFormat="1" ht="15.75" customHeight="1" x14ac:dyDescent="0.3"/>
    <row r="268" s="29" customFormat="1" ht="15.75" customHeight="1" x14ac:dyDescent="0.3"/>
    <row r="269" s="29" customFormat="1" ht="15.75" customHeight="1" x14ac:dyDescent="0.3"/>
    <row r="270" s="29" customFormat="1" ht="15.75" customHeight="1" x14ac:dyDescent="0.3"/>
    <row r="271" s="29" customFormat="1" ht="15.75" customHeight="1" x14ac:dyDescent="0.3"/>
    <row r="272" s="29" customFormat="1" ht="15.75" customHeight="1" x14ac:dyDescent="0.3"/>
    <row r="273" s="29" customFormat="1" ht="15.75" customHeight="1" x14ac:dyDescent="0.3"/>
    <row r="274" s="29" customFormat="1" ht="15.75" customHeight="1" x14ac:dyDescent="0.3"/>
    <row r="275" s="29" customFormat="1" ht="15.75" customHeight="1" x14ac:dyDescent="0.3"/>
    <row r="276" s="29" customFormat="1" ht="15.75" customHeight="1" x14ac:dyDescent="0.3"/>
    <row r="277" s="29" customFormat="1" ht="15.75" customHeight="1" x14ac:dyDescent="0.3"/>
    <row r="278" s="29" customFormat="1" ht="15.75" customHeight="1" x14ac:dyDescent="0.3"/>
    <row r="279" s="29" customFormat="1" ht="15.75" customHeight="1" x14ac:dyDescent="0.3"/>
    <row r="280" s="29" customFormat="1" ht="15.75" customHeight="1" x14ac:dyDescent="0.3"/>
    <row r="281" s="29" customFormat="1" ht="15.75" customHeight="1" x14ac:dyDescent="0.3"/>
    <row r="282" s="29" customFormat="1" ht="15.75" customHeight="1" x14ac:dyDescent="0.3"/>
    <row r="283" s="29" customFormat="1" ht="15.75" customHeight="1" x14ac:dyDescent="0.3"/>
    <row r="284" s="29" customFormat="1" ht="15.75" customHeight="1" x14ac:dyDescent="0.3"/>
    <row r="285" s="29" customFormat="1" ht="15.75" customHeight="1" x14ac:dyDescent="0.3"/>
    <row r="286" s="29" customFormat="1" ht="15.75" customHeight="1" x14ac:dyDescent="0.3"/>
    <row r="287" s="29" customFormat="1" ht="15.75" customHeight="1" x14ac:dyDescent="0.3"/>
    <row r="288" s="29" customFormat="1" ht="15.75" customHeight="1" x14ac:dyDescent="0.3"/>
    <row r="289" s="29" customFormat="1" ht="15.75" customHeight="1" x14ac:dyDescent="0.3"/>
    <row r="290" s="29" customFormat="1" ht="15.75" customHeight="1" x14ac:dyDescent="0.3"/>
    <row r="291" s="29" customFormat="1" ht="15.75" customHeight="1" x14ac:dyDescent="0.3"/>
    <row r="292" s="29" customFormat="1" ht="15.75" customHeight="1" x14ac:dyDescent="0.3"/>
    <row r="293" s="29" customFormat="1" ht="15.75" customHeight="1" x14ac:dyDescent="0.3"/>
    <row r="294" s="29" customFormat="1" ht="15.75" customHeight="1" x14ac:dyDescent="0.3"/>
    <row r="295" s="29" customFormat="1" ht="15.75" customHeight="1" x14ac:dyDescent="0.3"/>
    <row r="296" s="29" customFormat="1" ht="15.75" customHeight="1" x14ac:dyDescent="0.3"/>
    <row r="297" s="29" customFormat="1" ht="15.75" customHeight="1" x14ac:dyDescent="0.3"/>
    <row r="298" s="29" customFormat="1" ht="15.75" customHeight="1" x14ac:dyDescent="0.3"/>
    <row r="299" s="29" customFormat="1" ht="15.75" customHeight="1" x14ac:dyDescent="0.3"/>
    <row r="300" s="29" customFormat="1" ht="15.75" customHeight="1" x14ac:dyDescent="0.3"/>
    <row r="301" s="29" customFormat="1" ht="15.75" customHeight="1" x14ac:dyDescent="0.3"/>
    <row r="302" s="29" customFormat="1" ht="15.75" customHeight="1" x14ac:dyDescent="0.3"/>
    <row r="303" s="29" customFormat="1" ht="15.75" customHeight="1" x14ac:dyDescent="0.3"/>
    <row r="304" s="29" customFormat="1" ht="15.75" customHeight="1" x14ac:dyDescent="0.3"/>
    <row r="305" s="29" customFormat="1" ht="15.75" customHeight="1" x14ac:dyDescent="0.3"/>
    <row r="306" s="29" customFormat="1" ht="15.75" customHeight="1" x14ac:dyDescent="0.3"/>
    <row r="307" s="29" customFormat="1" ht="15.75" customHeight="1" x14ac:dyDescent="0.3"/>
    <row r="308" s="29" customFormat="1" ht="15.75" customHeight="1" x14ac:dyDescent="0.3"/>
    <row r="309" s="29" customFormat="1" ht="15.75" customHeight="1" x14ac:dyDescent="0.3"/>
    <row r="310" s="29" customFormat="1" ht="15.75" customHeight="1" x14ac:dyDescent="0.3"/>
    <row r="311" s="29" customFormat="1" ht="15.75" customHeight="1" x14ac:dyDescent="0.3"/>
    <row r="312" s="29" customFormat="1" ht="15.75" customHeight="1" x14ac:dyDescent="0.3"/>
    <row r="313" s="29" customFormat="1" ht="15.75" customHeight="1" x14ac:dyDescent="0.3"/>
    <row r="314" s="29" customFormat="1" ht="15.75" customHeight="1" x14ac:dyDescent="0.3"/>
    <row r="315" s="29" customFormat="1" ht="15.75" customHeight="1" x14ac:dyDescent="0.3"/>
    <row r="316" s="29" customFormat="1" ht="15.75" customHeight="1" x14ac:dyDescent="0.3"/>
    <row r="317" s="29" customFormat="1" ht="15.75" customHeight="1" x14ac:dyDescent="0.3"/>
    <row r="318" s="29" customFormat="1" ht="15.75" customHeight="1" x14ac:dyDescent="0.3"/>
    <row r="319" s="29" customFormat="1" ht="15.75" customHeight="1" x14ac:dyDescent="0.3"/>
    <row r="320" s="29" customFormat="1" ht="15.75" customHeight="1" x14ac:dyDescent="0.3"/>
    <row r="321" s="29" customFormat="1" ht="15.75" customHeight="1" x14ac:dyDescent="0.3"/>
    <row r="322" s="29" customFormat="1" ht="15.75" customHeight="1" x14ac:dyDescent="0.3"/>
    <row r="323" s="29" customFormat="1" ht="15.75" customHeight="1" x14ac:dyDescent="0.3"/>
    <row r="324" s="29" customFormat="1" ht="15.75" customHeight="1" x14ac:dyDescent="0.3"/>
    <row r="325" s="29" customFormat="1" ht="15.75" customHeight="1" x14ac:dyDescent="0.3"/>
    <row r="326" s="29" customFormat="1" ht="15.75" customHeight="1" x14ac:dyDescent="0.3"/>
    <row r="327" s="29" customFormat="1" ht="15.75" customHeight="1" x14ac:dyDescent="0.3"/>
    <row r="328" s="29" customFormat="1" ht="15.75" customHeight="1" x14ac:dyDescent="0.3"/>
    <row r="329" s="29" customFormat="1" ht="15.75" customHeight="1" x14ac:dyDescent="0.3"/>
    <row r="330" s="29" customFormat="1" ht="15.75" customHeight="1" x14ac:dyDescent="0.3"/>
    <row r="331" s="29" customFormat="1" ht="15.75" customHeight="1" x14ac:dyDescent="0.3"/>
    <row r="332" s="29" customFormat="1" ht="15.75" customHeight="1" x14ac:dyDescent="0.3"/>
    <row r="333" s="29" customFormat="1" ht="15.75" customHeight="1" x14ac:dyDescent="0.3"/>
    <row r="334" s="29" customFormat="1" ht="15.75" customHeight="1" x14ac:dyDescent="0.3"/>
    <row r="335" s="29" customFormat="1" ht="15.75" customHeight="1" x14ac:dyDescent="0.3"/>
    <row r="336" s="29" customFormat="1" ht="15.75" customHeight="1" x14ac:dyDescent="0.3"/>
    <row r="337" s="29" customFormat="1" ht="15.75" customHeight="1" x14ac:dyDescent="0.3"/>
    <row r="338" s="29" customFormat="1" ht="15.75" customHeight="1" x14ac:dyDescent="0.3"/>
    <row r="339" s="29" customFormat="1" ht="15.75" customHeight="1" x14ac:dyDescent="0.3"/>
    <row r="340" s="29" customFormat="1" ht="15.75" customHeight="1" x14ac:dyDescent="0.3"/>
    <row r="341" s="29" customFormat="1" ht="15.75" customHeight="1" x14ac:dyDescent="0.3"/>
    <row r="342" s="29" customFormat="1" ht="15.75" customHeight="1" x14ac:dyDescent="0.3"/>
    <row r="343" s="29" customFormat="1" ht="15.75" customHeight="1" x14ac:dyDescent="0.3"/>
    <row r="344" s="29" customFormat="1" ht="15.75" customHeight="1" x14ac:dyDescent="0.3"/>
    <row r="345" s="29" customFormat="1" ht="15.75" customHeight="1" x14ac:dyDescent="0.3"/>
    <row r="346" s="29" customFormat="1" ht="15.75" customHeight="1" x14ac:dyDescent="0.3"/>
    <row r="347" s="29" customFormat="1" ht="15.75" customHeight="1" x14ac:dyDescent="0.3"/>
    <row r="348" s="29" customFormat="1" ht="15.75" customHeight="1" x14ac:dyDescent="0.3"/>
    <row r="349" s="29" customFormat="1" ht="15.75" customHeight="1" x14ac:dyDescent="0.3"/>
    <row r="350" s="29" customFormat="1" ht="15.75" customHeight="1" x14ac:dyDescent="0.3"/>
    <row r="351" s="29" customFormat="1" ht="15.75" customHeight="1" x14ac:dyDescent="0.3"/>
    <row r="352" s="29" customFormat="1" ht="15.75" customHeight="1" x14ac:dyDescent="0.3"/>
    <row r="353" s="29" customFormat="1" ht="15.75" customHeight="1" x14ac:dyDescent="0.3"/>
    <row r="354" s="29" customFormat="1" ht="15.75" customHeight="1" x14ac:dyDescent="0.3"/>
    <row r="355" s="29" customFormat="1" ht="15.75" customHeight="1" x14ac:dyDescent="0.3"/>
    <row r="356" s="29" customFormat="1" ht="15.75" customHeight="1" x14ac:dyDescent="0.3"/>
    <row r="357" s="29" customFormat="1" ht="15.75" customHeight="1" x14ac:dyDescent="0.3"/>
    <row r="358" s="29" customFormat="1" ht="15.75" customHeight="1" x14ac:dyDescent="0.3"/>
    <row r="359" s="29" customFormat="1" ht="15.75" customHeight="1" x14ac:dyDescent="0.3"/>
    <row r="360" s="29" customFormat="1" ht="15.75" customHeight="1" x14ac:dyDescent="0.3"/>
    <row r="361" s="29" customFormat="1" ht="15.75" customHeight="1" x14ac:dyDescent="0.3"/>
    <row r="362" s="29" customFormat="1" ht="15.75" customHeight="1" x14ac:dyDescent="0.3"/>
    <row r="363" s="29" customFormat="1" ht="15.75" customHeight="1" x14ac:dyDescent="0.3"/>
    <row r="364" s="29" customFormat="1" ht="15.75" customHeight="1" x14ac:dyDescent="0.3"/>
    <row r="365" s="29" customFormat="1" ht="15.75" customHeight="1" x14ac:dyDescent="0.3"/>
    <row r="366" s="29" customFormat="1" ht="15.75" customHeight="1" x14ac:dyDescent="0.3"/>
    <row r="367" s="29" customFormat="1" ht="15.75" customHeight="1" x14ac:dyDescent="0.3"/>
    <row r="368" s="29" customFormat="1" ht="15.75" customHeight="1" x14ac:dyDescent="0.3"/>
    <row r="369" s="29" customFormat="1" ht="15.75" customHeight="1" x14ac:dyDescent="0.3"/>
    <row r="370" s="29" customFormat="1" ht="15.75" customHeight="1" x14ac:dyDescent="0.3"/>
    <row r="371" s="29" customFormat="1" ht="15.75" customHeight="1" x14ac:dyDescent="0.3"/>
    <row r="372" s="29" customFormat="1" ht="15.75" customHeight="1" x14ac:dyDescent="0.3"/>
    <row r="373" s="29" customFormat="1" ht="15.75" customHeight="1" x14ac:dyDescent="0.3"/>
    <row r="374" s="29" customFormat="1" ht="15.75" customHeight="1" x14ac:dyDescent="0.3"/>
    <row r="375" s="29" customFormat="1" ht="15.75" customHeight="1" x14ac:dyDescent="0.3"/>
    <row r="376" s="29" customFormat="1" ht="15.75" customHeight="1" x14ac:dyDescent="0.3"/>
    <row r="377" s="29" customFormat="1" ht="15.75" customHeight="1" x14ac:dyDescent="0.3"/>
    <row r="378" s="29" customFormat="1" ht="15.75" customHeight="1" x14ac:dyDescent="0.3"/>
    <row r="379" s="29" customFormat="1" ht="15.75" customHeight="1" x14ac:dyDescent="0.3"/>
    <row r="380" s="29" customFormat="1" ht="15.75" customHeight="1" x14ac:dyDescent="0.3"/>
    <row r="381" s="29" customFormat="1" ht="15.75" customHeight="1" x14ac:dyDescent="0.3"/>
    <row r="382" s="29" customFormat="1" ht="15.75" customHeight="1" x14ac:dyDescent="0.3"/>
    <row r="383" s="29" customFormat="1" ht="15.75" customHeight="1" x14ac:dyDescent="0.3"/>
    <row r="384" s="29" customFormat="1" ht="15.75" customHeight="1" x14ac:dyDescent="0.3"/>
    <row r="385" s="29" customFormat="1" ht="15.75" customHeight="1" x14ac:dyDescent="0.3"/>
    <row r="386" s="29" customFormat="1" ht="15.75" customHeight="1" x14ac:dyDescent="0.3"/>
    <row r="387" s="29" customFormat="1" ht="15.75" customHeight="1" x14ac:dyDescent="0.3"/>
    <row r="388" s="29" customFormat="1" ht="15.75" customHeight="1" x14ac:dyDescent="0.3"/>
    <row r="389" s="29" customFormat="1" ht="15.75" customHeight="1" x14ac:dyDescent="0.3"/>
    <row r="390" s="29" customFormat="1" ht="15.75" customHeight="1" x14ac:dyDescent="0.3"/>
    <row r="391" s="29" customFormat="1" ht="15.75" customHeight="1" x14ac:dyDescent="0.3"/>
    <row r="392" s="29" customFormat="1" ht="15.75" customHeight="1" x14ac:dyDescent="0.3"/>
    <row r="393" s="29" customFormat="1" ht="15.75" customHeight="1" x14ac:dyDescent="0.3"/>
    <row r="394" s="29" customFormat="1" ht="15.75" customHeight="1" x14ac:dyDescent="0.3"/>
    <row r="395" s="29" customFormat="1" ht="15.75" customHeight="1" x14ac:dyDescent="0.3"/>
    <row r="396" s="29" customFormat="1" ht="15.75" customHeight="1" x14ac:dyDescent="0.3"/>
    <row r="397" s="29" customFormat="1" ht="15.75" customHeight="1" x14ac:dyDescent="0.3"/>
    <row r="398" s="29" customFormat="1" ht="15.75" customHeight="1" x14ac:dyDescent="0.3"/>
    <row r="399" s="29" customFormat="1" ht="15.75" customHeight="1" x14ac:dyDescent="0.3"/>
    <row r="400" s="29" customFormat="1" ht="15.75" customHeight="1" x14ac:dyDescent="0.3"/>
    <row r="401" s="29" customFormat="1" ht="15.75" customHeight="1" x14ac:dyDescent="0.3"/>
    <row r="402" s="29" customFormat="1" ht="15.75" customHeight="1" x14ac:dyDescent="0.3"/>
    <row r="403" s="29" customFormat="1" ht="15.75" customHeight="1" x14ac:dyDescent="0.3"/>
    <row r="404" s="29" customFormat="1" ht="15.75" customHeight="1" x14ac:dyDescent="0.3"/>
    <row r="405" s="29" customFormat="1" ht="15.75" customHeight="1" x14ac:dyDescent="0.3"/>
    <row r="406" s="29" customFormat="1" ht="15.75" customHeight="1" x14ac:dyDescent="0.3"/>
    <row r="407" s="29" customFormat="1" ht="15.75" customHeight="1" x14ac:dyDescent="0.3"/>
    <row r="408" s="29" customFormat="1" ht="15.75" customHeight="1" x14ac:dyDescent="0.3"/>
    <row r="409" s="29" customFormat="1" ht="15.75" customHeight="1" x14ac:dyDescent="0.3"/>
    <row r="410" s="29" customFormat="1" ht="15.75" customHeight="1" x14ac:dyDescent="0.3"/>
    <row r="411" s="29" customFormat="1" ht="15.75" customHeight="1" x14ac:dyDescent="0.3"/>
    <row r="412" s="29" customFormat="1" ht="15.75" customHeight="1" x14ac:dyDescent="0.3"/>
    <row r="413" s="29" customFormat="1" ht="15.75" customHeight="1" x14ac:dyDescent="0.3"/>
    <row r="414" s="29" customFormat="1" ht="15.75" customHeight="1" x14ac:dyDescent="0.3"/>
    <row r="415" s="29" customFormat="1" ht="15.75" customHeight="1" x14ac:dyDescent="0.3"/>
    <row r="416" s="29" customFormat="1" ht="15.75" customHeight="1" x14ac:dyDescent="0.3"/>
    <row r="417" s="29" customFormat="1" ht="15.75" customHeight="1" x14ac:dyDescent="0.3"/>
    <row r="418" s="29" customFormat="1" ht="15.75" customHeight="1" x14ac:dyDescent="0.3"/>
    <row r="419" s="29" customFormat="1" ht="15.75" customHeight="1" x14ac:dyDescent="0.3"/>
    <row r="420" s="29" customFormat="1" ht="15.75" customHeight="1" x14ac:dyDescent="0.3"/>
    <row r="421" s="29" customFormat="1" ht="15.75" customHeight="1" x14ac:dyDescent="0.3"/>
    <row r="422" s="29" customFormat="1" ht="15.75" customHeight="1" x14ac:dyDescent="0.3"/>
    <row r="423" s="29" customFormat="1" ht="15.75" customHeight="1" x14ac:dyDescent="0.3"/>
    <row r="424" s="29" customFormat="1" ht="15.75" customHeight="1" x14ac:dyDescent="0.3"/>
    <row r="425" s="29" customFormat="1" ht="15.75" customHeight="1" x14ac:dyDescent="0.3"/>
    <row r="426" s="29" customFormat="1" ht="15.75" customHeight="1" x14ac:dyDescent="0.3"/>
    <row r="427" s="29" customFormat="1" ht="15.75" customHeight="1" x14ac:dyDescent="0.3"/>
    <row r="428" s="29" customFormat="1" ht="15.75" customHeight="1" x14ac:dyDescent="0.3"/>
    <row r="429" s="29" customFormat="1" ht="15.75" customHeight="1" x14ac:dyDescent="0.3"/>
    <row r="430" s="29" customFormat="1" ht="15.75" customHeight="1" x14ac:dyDescent="0.3"/>
    <row r="431" s="29" customFormat="1" ht="15.75" customHeight="1" x14ac:dyDescent="0.3"/>
    <row r="432" s="29" customFormat="1" ht="15.75" customHeight="1" x14ac:dyDescent="0.3"/>
    <row r="433" s="29" customFormat="1" ht="15.75" customHeight="1" x14ac:dyDescent="0.3"/>
    <row r="434" s="29" customFormat="1" ht="15.75" customHeight="1" x14ac:dyDescent="0.3"/>
    <row r="435" s="29" customFormat="1" ht="15.75" customHeight="1" x14ac:dyDescent="0.3"/>
    <row r="436" s="29" customFormat="1" ht="15.75" customHeight="1" x14ac:dyDescent="0.3"/>
    <row r="437" s="29" customFormat="1" ht="15.75" customHeight="1" x14ac:dyDescent="0.3"/>
    <row r="438" s="29" customFormat="1" ht="15.75" customHeight="1" x14ac:dyDescent="0.3"/>
    <row r="439" s="29" customFormat="1" ht="15.75" customHeight="1" x14ac:dyDescent="0.3"/>
    <row r="440" s="29" customFormat="1" ht="15.75" customHeight="1" x14ac:dyDescent="0.3"/>
    <row r="441" s="29" customFormat="1" ht="15.75" customHeight="1" x14ac:dyDescent="0.3"/>
    <row r="442" s="29" customFormat="1" ht="15.75" customHeight="1" x14ac:dyDescent="0.3"/>
    <row r="443" s="29" customFormat="1" ht="15.75" customHeight="1" x14ac:dyDescent="0.3"/>
    <row r="444" s="29" customFormat="1" ht="15.75" customHeight="1" x14ac:dyDescent="0.3"/>
    <row r="445" s="29" customFormat="1" ht="15.75" customHeight="1" x14ac:dyDescent="0.3"/>
    <row r="446" s="29" customFormat="1" ht="15.75" customHeight="1" x14ac:dyDescent="0.3"/>
    <row r="447" s="29" customFormat="1" ht="15.75" customHeight="1" x14ac:dyDescent="0.3"/>
    <row r="448" s="29" customFormat="1" ht="15.75" customHeight="1" x14ac:dyDescent="0.3"/>
    <row r="449" s="29" customFormat="1" ht="15.75" customHeight="1" x14ac:dyDescent="0.3"/>
    <row r="450" s="29" customFormat="1" ht="15.75" customHeight="1" x14ac:dyDescent="0.3"/>
    <row r="451" s="29" customFormat="1" ht="15.75" customHeight="1" x14ac:dyDescent="0.3"/>
    <row r="452" s="29" customFormat="1" ht="15.75" customHeight="1" x14ac:dyDescent="0.3"/>
    <row r="453" s="29" customFormat="1" ht="15.75" customHeight="1" x14ac:dyDescent="0.3"/>
    <row r="454" s="29" customFormat="1" ht="15.75" customHeight="1" x14ac:dyDescent="0.3"/>
    <row r="455" s="29" customFormat="1" ht="15.75" customHeight="1" x14ac:dyDescent="0.3"/>
    <row r="456" s="29" customFormat="1" ht="15.75" customHeight="1" x14ac:dyDescent="0.3"/>
    <row r="457" s="29" customFormat="1" ht="15.75" customHeight="1" x14ac:dyDescent="0.3"/>
    <row r="458" s="29" customFormat="1" ht="15.75" customHeight="1" x14ac:dyDescent="0.3"/>
    <row r="459" s="29" customFormat="1" ht="15.75" customHeight="1" x14ac:dyDescent="0.3"/>
    <row r="460" s="29" customFormat="1" ht="15.75" customHeight="1" x14ac:dyDescent="0.3"/>
    <row r="461" s="29" customFormat="1" ht="15.75" customHeight="1" x14ac:dyDescent="0.3"/>
    <row r="462" s="29" customFormat="1" ht="15.75" customHeight="1" x14ac:dyDescent="0.3"/>
    <row r="463" s="29" customFormat="1" ht="15.75" customHeight="1" x14ac:dyDescent="0.3"/>
    <row r="464" s="29" customFormat="1" ht="15.75" customHeight="1" x14ac:dyDescent="0.3"/>
    <row r="465" s="29" customFormat="1" ht="15.75" customHeight="1" x14ac:dyDescent="0.3"/>
    <row r="466" s="29" customFormat="1" ht="15.75" customHeight="1" x14ac:dyDescent="0.3"/>
    <row r="467" s="29" customFormat="1" ht="15.75" customHeight="1" x14ac:dyDescent="0.3"/>
    <row r="468" s="29" customFormat="1" ht="15.75" customHeight="1" x14ac:dyDescent="0.3"/>
    <row r="469" s="29" customFormat="1" ht="15.75" customHeight="1" x14ac:dyDescent="0.3"/>
    <row r="470" s="29" customFormat="1" ht="15.75" customHeight="1" x14ac:dyDescent="0.3"/>
    <row r="471" s="29" customFormat="1" ht="15.75" customHeight="1" x14ac:dyDescent="0.3"/>
    <row r="472" s="29" customFormat="1" ht="15.75" customHeight="1" x14ac:dyDescent="0.3"/>
    <row r="473" s="29" customFormat="1" ht="15.75" customHeight="1" x14ac:dyDescent="0.3"/>
    <row r="474" s="29" customFormat="1" ht="15.75" customHeight="1" x14ac:dyDescent="0.3"/>
    <row r="475" s="29" customFormat="1" ht="15.75" customHeight="1" x14ac:dyDescent="0.3"/>
    <row r="476" s="29" customFormat="1" ht="15.75" customHeight="1" x14ac:dyDescent="0.3"/>
    <row r="477" s="29" customFormat="1" ht="15.75" customHeight="1" x14ac:dyDescent="0.3"/>
    <row r="478" s="29" customFormat="1" ht="15.75" customHeight="1" x14ac:dyDescent="0.3"/>
    <row r="479" s="29" customFormat="1" ht="15.75" customHeight="1" x14ac:dyDescent="0.3"/>
    <row r="480" s="29" customFormat="1" ht="15.75" customHeight="1" x14ac:dyDescent="0.3"/>
    <row r="481" s="29" customFormat="1" ht="15.75" customHeight="1" x14ac:dyDescent="0.3"/>
    <row r="482" s="29" customFormat="1" ht="15.75" customHeight="1" x14ac:dyDescent="0.3"/>
    <row r="483" s="29" customFormat="1" ht="15.75" customHeight="1" x14ac:dyDescent="0.3"/>
    <row r="484" s="29" customFormat="1" ht="15.75" customHeight="1" x14ac:dyDescent="0.3"/>
    <row r="485" s="29" customFormat="1" ht="15.75" customHeight="1" x14ac:dyDescent="0.3"/>
    <row r="486" s="29" customFormat="1" ht="15.75" customHeight="1" x14ac:dyDescent="0.3"/>
    <row r="487" s="29" customFormat="1" ht="15.75" customHeight="1" x14ac:dyDescent="0.3"/>
    <row r="488" s="29" customFormat="1" ht="15.75" customHeight="1" x14ac:dyDescent="0.3"/>
    <row r="489" s="29" customFormat="1" ht="15.75" customHeight="1" x14ac:dyDescent="0.3"/>
    <row r="490" s="29" customFormat="1" ht="15.75" customHeight="1" x14ac:dyDescent="0.3"/>
    <row r="491" s="29" customFormat="1" ht="15.75" customHeight="1" x14ac:dyDescent="0.3"/>
    <row r="492" s="29" customFormat="1" ht="15.75" customHeight="1" x14ac:dyDescent="0.3"/>
    <row r="493" s="29" customFormat="1" ht="15.75" customHeight="1" x14ac:dyDescent="0.3"/>
    <row r="494" s="29" customFormat="1" ht="15.75" customHeight="1" x14ac:dyDescent="0.3"/>
    <row r="495" s="29" customFormat="1" ht="15.75" customHeight="1" x14ac:dyDescent="0.3"/>
    <row r="496" s="29" customFormat="1" ht="15.75" customHeight="1" x14ac:dyDescent="0.3"/>
    <row r="497" s="29" customFormat="1" ht="15.75" customHeight="1" x14ac:dyDescent="0.3"/>
    <row r="498" s="29" customFormat="1" ht="15.75" customHeight="1" x14ac:dyDescent="0.3"/>
    <row r="499" s="29" customFormat="1" ht="15.75" customHeight="1" x14ac:dyDescent="0.3"/>
    <row r="500" s="29" customFormat="1" ht="15.75" customHeight="1" x14ac:dyDescent="0.3"/>
    <row r="501" s="29" customFormat="1" ht="15.75" customHeight="1" x14ac:dyDescent="0.3"/>
    <row r="502" s="29" customFormat="1" ht="15.75" customHeight="1" x14ac:dyDescent="0.3"/>
    <row r="503" s="29" customFormat="1" ht="15.75" customHeight="1" x14ac:dyDescent="0.3"/>
    <row r="504" s="29" customFormat="1" ht="15.75" customHeight="1" x14ac:dyDescent="0.3"/>
    <row r="505" s="29" customFormat="1" ht="15.75" customHeight="1" x14ac:dyDescent="0.3"/>
    <row r="506" s="29" customFormat="1" ht="15.75" customHeight="1" x14ac:dyDescent="0.3"/>
    <row r="507" s="29" customFormat="1" ht="15.75" customHeight="1" x14ac:dyDescent="0.3"/>
    <row r="508" s="29" customFormat="1" ht="15.75" customHeight="1" x14ac:dyDescent="0.3"/>
    <row r="509" s="29" customFormat="1" ht="15.75" customHeight="1" x14ac:dyDescent="0.3"/>
    <row r="510" s="29" customFormat="1" ht="15.75" customHeight="1" x14ac:dyDescent="0.3"/>
    <row r="511" s="29" customFormat="1" ht="15.75" customHeight="1" x14ac:dyDescent="0.3"/>
    <row r="512" s="29" customFormat="1" ht="15.75" customHeight="1" x14ac:dyDescent="0.3"/>
    <row r="513" s="29" customFormat="1" ht="15.75" customHeight="1" x14ac:dyDescent="0.3"/>
    <row r="514" s="29" customFormat="1" ht="15.75" customHeight="1" x14ac:dyDescent="0.3"/>
    <row r="515" s="29" customFormat="1" ht="15.75" customHeight="1" x14ac:dyDescent="0.3"/>
    <row r="516" s="29" customFormat="1" ht="15.75" customHeight="1" x14ac:dyDescent="0.3"/>
    <row r="517" s="29" customFormat="1" ht="15.75" customHeight="1" x14ac:dyDescent="0.3"/>
    <row r="518" s="29" customFormat="1" ht="15.75" customHeight="1" x14ac:dyDescent="0.3"/>
    <row r="519" s="29" customFormat="1" ht="15.75" customHeight="1" x14ac:dyDescent="0.3"/>
    <row r="520" s="29" customFormat="1" ht="15.75" customHeight="1" x14ac:dyDescent="0.3"/>
    <row r="521" s="29" customFormat="1" ht="15.75" customHeight="1" x14ac:dyDescent="0.3"/>
    <row r="522" s="29" customFormat="1" ht="15.75" customHeight="1" x14ac:dyDescent="0.3"/>
    <row r="523" s="29" customFormat="1" ht="15.75" customHeight="1" x14ac:dyDescent="0.3"/>
    <row r="524" s="29" customFormat="1" ht="15.75" customHeight="1" x14ac:dyDescent="0.3"/>
    <row r="525" s="29" customFormat="1" ht="15.75" customHeight="1" x14ac:dyDescent="0.3"/>
    <row r="526" s="29" customFormat="1" ht="15.75" customHeight="1" x14ac:dyDescent="0.3"/>
    <row r="527" s="29" customFormat="1" ht="15.75" customHeight="1" x14ac:dyDescent="0.3"/>
    <row r="528" s="29" customFormat="1" ht="15.75" customHeight="1" x14ac:dyDescent="0.3"/>
    <row r="529" s="29" customFormat="1" ht="15.75" customHeight="1" x14ac:dyDescent="0.3"/>
    <row r="530" s="29" customFormat="1" ht="15.75" customHeight="1" x14ac:dyDescent="0.3"/>
    <row r="531" s="29" customFormat="1" ht="15.75" customHeight="1" x14ac:dyDescent="0.3"/>
    <row r="532" s="29" customFormat="1" ht="15.75" customHeight="1" x14ac:dyDescent="0.3"/>
    <row r="533" s="29" customFormat="1" ht="15.75" customHeight="1" x14ac:dyDescent="0.3"/>
    <row r="534" s="29" customFormat="1" ht="15.75" customHeight="1" x14ac:dyDescent="0.3"/>
    <row r="535" s="29" customFormat="1" ht="15.75" customHeight="1" x14ac:dyDescent="0.3"/>
    <row r="536" s="29" customFormat="1" ht="15.75" customHeight="1" x14ac:dyDescent="0.3"/>
    <row r="537" s="29" customFormat="1" ht="15.75" customHeight="1" x14ac:dyDescent="0.3"/>
    <row r="538" s="29" customFormat="1" ht="15.75" customHeight="1" x14ac:dyDescent="0.3"/>
    <row r="539" s="29" customFormat="1" ht="15.75" customHeight="1" x14ac:dyDescent="0.3"/>
    <row r="540" s="29" customFormat="1" ht="15.75" customHeight="1" x14ac:dyDescent="0.3"/>
    <row r="541" s="29" customFormat="1" ht="15.75" customHeight="1" x14ac:dyDescent="0.3"/>
    <row r="542" s="29" customFormat="1" ht="15.75" customHeight="1" x14ac:dyDescent="0.3"/>
    <row r="543" s="29" customFormat="1" ht="15.75" customHeight="1" x14ac:dyDescent="0.3"/>
    <row r="544" s="29" customFormat="1" ht="15.75" customHeight="1" x14ac:dyDescent="0.3"/>
    <row r="545" s="29" customFormat="1" ht="15.75" customHeight="1" x14ac:dyDescent="0.3"/>
    <row r="546" s="29" customFormat="1" ht="15.75" customHeight="1" x14ac:dyDescent="0.3"/>
    <row r="547" s="29" customFormat="1" ht="15.75" customHeight="1" x14ac:dyDescent="0.3"/>
    <row r="548" s="29" customFormat="1" ht="15.75" customHeight="1" x14ac:dyDescent="0.3"/>
    <row r="549" s="29" customFormat="1" ht="15.75" customHeight="1" x14ac:dyDescent="0.3"/>
    <row r="550" s="29" customFormat="1" ht="15.75" customHeight="1" x14ac:dyDescent="0.3"/>
    <row r="551" s="29" customFormat="1" ht="15.75" customHeight="1" x14ac:dyDescent="0.3"/>
    <row r="552" s="29" customFormat="1" ht="15.75" customHeight="1" x14ac:dyDescent="0.3"/>
    <row r="553" s="29" customFormat="1" ht="15.75" customHeight="1" x14ac:dyDescent="0.3"/>
    <row r="554" s="29" customFormat="1" ht="15.75" customHeight="1" x14ac:dyDescent="0.3"/>
    <row r="555" s="29" customFormat="1" ht="15.75" customHeight="1" x14ac:dyDescent="0.3"/>
    <row r="556" s="29" customFormat="1" ht="15.75" customHeight="1" x14ac:dyDescent="0.3"/>
    <row r="557" s="29" customFormat="1" ht="15.75" customHeight="1" x14ac:dyDescent="0.3"/>
    <row r="558" s="29" customFormat="1" ht="15.75" customHeight="1" x14ac:dyDescent="0.3"/>
    <row r="559" s="29" customFormat="1" ht="15.75" customHeight="1" x14ac:dyDescent="0.3"/>
    <row r="560" s="29" customFormat="1" ht="15.75" customHeight="1" x14ac:dyDescent="0.3"/>
    <row r="561" s="29" customFormat="1" ht="15.75" customHeight="1" x14ac:dyDescent="0.3"/>
    <row r="562" s="29" customFormat="1" ht="15.75" customHeight="1" x14ac:dyDescent="0.3"/>
    <row r="563" s="29" customFormat="1" ht="15.75" customHeight="1" x14ac:dyDescent="0.3"/>
    <row r="564" s="29" customFormat="1" ht="15.75" customHeight="1" x14ac:dyDescent="0.3"/>
    <row r="565" s="29" customFormat="1" ht="15.75" customHeight="1" x14ac:dyDescent="0.3"/>
    <row r="566" s="29" customFormat="1" ht="15.75" customHeight="1" x14ac:dyDescent="0.3"/>
    <row r="567" s="29" customFormat="1" ht="15.75" customHeight="1" x14ac:dyDescent="0.3"/>
    <row r="568" s="29" customFormat="1" ht="15.75" customHeight="1" x14ac:dyDescent="0.3"/>
    <row r="569" s="29" customFormat="1" ht="15.75" customHeight="1" x14ac:dyDescent="0.3"/>
    <row r="570" s="29" customFormat="1" ht="15.75" customHeight="1" x14ac:dyDescent="0.3"/>
    <row r="571" s="29" customFormat="1" ht="15.75" customHeight="1" x14ac:dyDescent="0.3"/>
    <row r="572" s="29" customFormat="1" ht="15.75" customHeight="1" x14ac:dyDescent="0.3"/>
    <row r="573" s="29" customFormat="1" ht="15.75" customHeight="1" x14ac:dyDescent="0.3"/>
    <row r="574" s="29" customFormat="1" ht="15.75" customHeight="1" x14ac:dyDescent="0.3"/>
    <row r="575" s="29" customFormat="1" ht="15.75" customHeight="1" x14ac:dyDescent="0.3"/>
    <row r="576" s="29" customFormat="1" ht="15.75" customHeight="1" x14ac:dyDescent="0.3"/>
    <row r="577" s="29" customFormat="1" ht="15.75" customHeight="1" x14ac:dyDescent="0.3"/>
    <row r="578" s="29" customFormat="1" ht="15.75" customHeight="1" x14ac:dyDescent="0.3"/>
    <row r="579" s="29" customFormat="1" ht="15.75" customHeight="1" x14ac:dyDescent="0.3"/>
    <row r="580" s="29" customFormat="1" ht="15.75" customHeight="1" x14ac:dyDescent="0.3"/>
    <row r="581" s="29" customFormat="1" ht="15.75" customHeight="1" x14ac:dyDescent="0.3"/>
    <row r="582" s="29" customFormat="1" ht="15.75" customHeight="1" x14ac:dyDescent="0.3"/>
    <row r="583" s="29" customFormat="1" ht="15.75" customHeight="1" x14ac:dyDescent="0.3"/>
    <row r="584" s="29" customFormat="1" ht="15.75" customHeight="1" x14ac:dyDescent="0.3"/>
    <row r="585" s="29" customFormat="1" ht="15.75" customHeight="1" x14ac:dyDescent="0.3"/>
    <row r="586" s="29" customFormat="1" ht="15.75" customHeight="1" x14ac:dyDescent="0.3"/>
    <row r="587" s="29" customFormat="1" ht="15.75" customHeight="1" x14ac:dyDescent="0.3"/>
    <row r="588" s="29" customFormat="1" ht="15.75" customHeight="1" x14ac:dyDescent="0.3"/>
    <row r="589" s="29" customFormat="1" ht="15.75" customHeight="1" x14ac:dyDescent="0.3"/>
    <row r="590" s="29" customFormat="1" ht="15.75" customHeight="1" x14ac:dyDescent="0.3"/>
    <row r="591" s="29" customFormat="1" ht="15.75" customHeight="1" x14ac:dyDescent="0.3"/>
    <row r="592" s="29" customFormat="1" ht="15.75" customHeight="1" x14ac:dyDescent="0.3"/>
    <row r="593" s="29" customFormat="1" ht="15.75" customHeight="1" x14ac:dyDescent="0.3"/>
    <row r="594" s="29" customFormat="1" ht="15.75" customHeight="1" x14ac:dyDescent="0.3"/>
    <row r="595" s="29" customFormat="1" ht="15.75" customHeight="1" x14ac:dyDescent="0.3"/>
    <row r="596" s="29" customFormat="1" ht="15.75" customHeight="1" x14ac:dyDescent="0.3"/>
    <row r="597" s="29" customFormat="1" ht="15.75" customHeight="1" x14ac:dyDescent="0.3"/>
    <row r="598" s="29" customFormat="1" ht="15.75" customHeight="1" x14ac:dyDescent="0.3"/>
    <row r="599" s="29" customFormat="1" ht="15.75" customHeight="1" x14ac:dyDescent="0.3"/>
    <row r="600" s="29" customFormat="1" ht="15.75" customHeight="1" x14ac:dyDescent="0.3"/>
    <row r="601" s="29" customFormat="1" ht="15.75" customHeight="1" x14ac:dyDescent="0.3"/>
    <row r="602" s="29" customFormat="1" ht="15.75" customHeight="1" x14ac:dyDescent="0.3"/>
    <row r="603" s="29" customFormat="1" ht="15.75" customHeight="1" x14ac:dyDescent="0.3"/>
    <row r="604" s="29" customFormat="1" ht="15.75" customHeight="1" x14ac:dyDescent="0.3"/>
    <row r="605" s="29" customFormat="1" ht="15.75" customHeight="1" x14ac:dyDescent="0.3"/>
    <row r="606" s="29" customFormat="1" ht="15.75" customHeight="1" x14ac:dyDescent="0.3"/>
    <row r="607" s="29" customFormat="1" ht="15.75" customHeight="1" x14ac:dyDescent="0.3"/>
    <row r="608" s="29" customFormat="1" ht="15.75" customHeight="1" x14ac:dyDescent="0.3"/>
    <row r="609" s="29" customFormat="1" ht="15.75" customHeight="1" x14ac:dyDescent="0.3"/>
    <row r="610" s="29" customFormat="1" ht="15.75" customHeight="1" x14ac:dyDescent="0.3"/>
    <row r="611" s="29" customFormat="1" ht="15.75" customHeight="1" x14ac:dyDescent="0.3"/>
    <row r="612" s="29" customFormat="1" ht="15.75" customHeight="1" x14ac:dyDescent="0.3"/>
    <row r="613" s="29" customFormat="1" ht="15.75" customHeight="1" x14ac:dyDescent="0.3"/>
    <row r="614" s="29" customFormat="1" ht="15.75" customHeight="1" x14ac:dyDescent="0.3"/>
    <row r="615" s="29" customFormat="1" ht="15.75" customHeight="1" x14ac:dyDescent="0.3"/>
    <row r="616" s="29" customFormat="1" ht="15.75" customHeight="1" x14ac:dyDescent="0.3"/>
    <row r="617" s="29" customFormat="1" ht="15.75" customHeight="1" x14ac:dyDescent="0.3"/>
    <row r="618" s="29" customFormat="1" ht="15.75" customHeight="1" x14ac:dyDescent="0.3"/>
    <row r="619" s="29" customFormat="1" ht="15.75" customHeight="1" x14ac:dyDescent="0.3"/>
    <row r="620" s="29" customFormat="1" ht="15.75" customHeight="1" x14ac:dyDescent="0.3"/>
    <row r="621" s="29" customFormat="1" ht="15.75" customHeight="1" x14ac:dyDescent="0.3"/>
    <row r="622" s="29" customFormat="1" ht="15.75" customHeight="1" x14ac:dyDescent="0.3"/>
    <row r="623" s="29" customFormat="1" ht="15.75" customHeight="1" x14ac:dyDescent="0.3"/>
    <row r="624" s="29" customFormat="1" ht="15.75" customHeight="1" x14ac:dyDescent="0.3"/>
    <row r="625" s="29" customFormat="1" ht="15.75" customHeight="1" x14ac:dyDescent="0.3"/>
    <row r="626" s="29" customFormat="1" ht="15.75" customHeight="1" x14ac:dyDescent="0.3"/>
    <row r="627" s="29" customFormat="1" ht="15.75" customHeight="1" x14ac:dyDescent="0.3"/>
    <row r="628" s="29" customFormat="1" ht="15.75" customHeight="1" x14ac:dyDescent="0.3"/>
    <row r="629" s="29" customFormat="1" ht="15.75" customHeight="1" x14ac:dyDescent="0.3"/>
    <row r="630" s="29" customFormat="1" ht="15.75" customHeight="1" x14ac:dyDescent="0.3"/>
    <row r="631" s="29" customFormat="1" ht="15.75" customHeight="1" x14ac:dyDescent="0.3"/>
    <row r="632" s="29" customFormat="1" ht="15.75" customHeight="1" x14ac:dyDescent="0.3"/>
    <row r="633" s="29" customFormat="1" ht="15.75" customHeight="1" x14ac:dyDescent="0.3"/>
    <row r="634" s="29" customFormat="1" ht="15.75" customHeight="1" x14ac:dyDescent="0.3"/>
    <row r="635" s="29" customFormat="1" ht="15.75" customHeight="1" x14ac:dyDescent="0.3"/>
    <row r="636" s="29" customFormat="1" ht="15.75" customHeight="1" x14ac:dyDescent="0.3"/>
    <row r="637" s="29" customFormat="1" ht="15.75" customHeight="1" x14ac:dyDescent="0.3"/>
    <row r="638" s="29" customFormat="1" ht="15.75" customHeight="1" x14ac:dyDescent="0.3"/>
    <row r="639" s="29" customFormat="1" ht="15.75" customHeight="1" x14ac:dyDescent="0.3"/>
    <row r="640" s="29" customFormat="1" ht="15.75" customHeight="1" x14ac:dyDescent="0.3"/>
    <row r="641" s="29" customFormat="1" ht="15.75" customHeight="1" x14ac:dyDescent="0.3"/>
    <row r="642" s="29" customFormat="1" ht="15.75" customHeight="1" x14ac:dyDescent="0.3"/>
    <row r="643" s="29" customFormat="1" ht="15.75" customHeight="1" x14ac:dyDescent="0.3"/>
    <row r="644" s="29" customFormat="1" ht="15.75" customHeight="1" x14ac:dyDescent="0.3"/>
    <row r="645" s="29" customFormat="1" ht="15.75" customHeight="1" x14ac:dyDescent="0.3"/>
    <row r="646" s="29" customFormat="1" ht="15.75" customHeight="1" x14ac:dyDescent="0.3"/>
    <row r="647" s="29" customFormat="1" ht="15.75" customHeight="1" x14ac:dyDescent="0.3"/>
    <row r="648" s="29" customFormat="1" ht="15.75" customHeight="1" x14ac:dyDescent="0.3"/>
    <row r="649" s="29" customFormat="1" ht="15.75" customHeight="1" x14ac:dyDescent="0.3"/>
    <row r="650" s="29" customFormat="1" ht="15.75" customHeight="1" x14ac:dyDescent="0.3"/>
    <row r="651" s="29" customFormat="1" ht="15.75" customHeight="1" x14ac:dyDescent="0.3"/>
    <row r="652" s="29" customFormat="1" ht="15.75" customHeight="1" x14ac:dyDescent="0.3"/>
    <row r="653" s="29" customFormat="1" ht="15.75" customHeight="1" x14ac:dyDescent="0.3"/>
    <row r="654" s="29" customFormat="1" ht="15.75" customHeight="1" x14ac:dyDescent="0.3"/>
    <row r="655" s="29" customFormat="1" ht="15.75" customHeight="1" x14ac:dyDescent="0.3"/>
    <row r="656" s="29" customFormat="1" ht="15.75" customHeight="1" x14ac:dyDescent="0.3"/>
    <row r="657" s="29" customFormat="1" ht="15.75" customHeight="1" x14ac:dyDescent="0.3"/>
    <row r="658" s="29" customFormat="1" ht="15.75" customHeight="1" x14ac:dyDescent="0.3"/>
    <row r="659" s="29" customFormat="1" ht="15.75" customHeight="1" x14ac:dyDescent="0.3"/>
    <row r="660" s="29" customFormat="1" ht="15.75" customHeight="1" x14ac:dyDescent="0.3"/>
    <row r="661" s="29" customFormat="1" ht="15.75" customHeight="1" x14ac:dyDescent="0.3"/>
    <row r="662" s="29" customFormat="1" ht="15.75" customHeight="1" x14ac:dyDescent="0.3"/>
    <row r="663" s="29" customFormat="1" ht="15.75" customHeight="1" x14ac:dyDescent="0.3"/>
    <row r="664" s="29" customFormat="1" ht="15.75" customHeight="1" x14ac:dyDescent="0.3"/>
    <row r="665" s="29" customFormat="1" ht="15.75" customHeight="1" x14ac:dyDescent="0.3"/>
    <row r="666" s="29" customFormat="1" ht="15.75" customHeight="1" x14ac:dyDescent="0.3"/>
    <row r="667" s="29" customFormat="1" ht="15.75" customHeight="1" x14ac:dyDescent="0.3"/>
    <row r="668" s="29" customFormat="1" ht="15.75" customHeight="1" x14ac:dyDescent="0.3"/>
    <row r="669" s="29" customFormat="1" ht="15.75" customHeight="1" x14ac:dyDescent="0.3"/>
    <row r="670" s="29" customFormat="1" ht="15.75" customHeight="1" x14ac:dyDescent="0.3"/>
    <row r="671" s="29" customFormat="1" ht="15.75" customHeight="1" x14ac:dyDescent="0.3"/>
    <row r="672" s="29" customFormat="1" ht="15.75" customHeight="1" x14ac:dyDescent="0.3"/>
    <row r="673" s="29" customFormat="1" ht="15.75" customHeight="1" x14ac:dyDescent="0.3"/>
    <row r="674" s="29" customFormat="1" ht="15.75" customHeight="1" x14ac:dyDescent="0.3"/>
    <row r="675" s="29" customFormat="1" ht="15.75" customHeight="1" x14ac:dyDescent="0.3"/>
    <row r="676" s="29" customFormat="1" ht="15.75" customHeight="1" x14ac:dyDescent="0.3"/>
    <row r="677" s="29" customFormat="1" ht="15.75" customHeight="1" x14ac:dyDescent="0.3"/>
    <row r="678" s="29" customFormat="1" ht="15.75" customHeight="1" x14ac:dyDescent="0.3"/>
    <row r="679" s="29" customFormat="1" ht="15.75" customHeight="1" x14ac:dyDescent="0.3"/>
    <row r="680" s="29" customFormat="1" ht="15.75" customHeight="1" x14ac:dyDescent="0.3"/>
    <row r="681" s="29" customFormat="1" ht="15.75" customHeight="1" x14ac:dyDescent="0.3"/>
    <row r="682" s="29" customFormat="1" ht="15.75" customHeight="1" x14ac:dyDescent="0.3"/>
    <row r="683" s="29" customFormat="1" ht="15.75" customHeight="1" x14ac:dyDescent="0.3"/>
    <row r="684" s="29" customFormat="1" ht="15.75" customHeight="1" x14ac:dyDescent="0.3"/>
    <row r="685" s="29" customFormat="1" ht="15.75" customHeight="1" x14ac:dyDescent="0.3"/>
    <row r="686" s="29" customFormat="1" ht="15.75" customHeight="1" x14ac:dyDescent="0.3"/>
    <row r="687" s="29" customFormat="1" ht="15.75" customHeight="1" x14ac:dyDescent="0.3"/>
    <row r="688" s="29" customFormat="1" ht="15.75" customHeight="1" x14ac:dyDescent="0.3"/>
    <row r="689" s="29" customFormat="1" ht="15.75" customHeight="1" x14ac:dyDescent="0.3"/>
    <row r="690" s="29" customFormat="1" ht="15.75" customHeight="1" x14ac:dyDescent="0.3"/>
    <row r="691" s="29" customFormat="1" ht="15.75" customHeight="1" x14ac:dyDescent="0.3"/>
    <row r="692" s="29" customFormat="1" ht="15.75" customHeight="1" x14ac:dyDescent="0.3"/>
    <row r="693" s="29" customFormat="1" ht="15.75" customHeight="1" x14ac:dyDescent="0.3"/>
    <row r="694" s="29" customFormat="1" ht="15.75" customHeight="1" x14ac:dyDescent="0.3"/>
    <row r="695" s="29" customFormat="1" ht="15.75" customHeight="1" x14ac:dyDescent="0.3"/>
    <row r="696" s="29" customFormat="1" ht="15.75" customHeight="1" x14ac:dyDescent="0.3"/>
    <row r="697" s="29" customFormat="1" ht="15.75" customHeight="1" x14ac:dyDescent="0.3"/>
    <row r="698" s="29" customFormat="1" ht="15.75" customHeight="1" x14ac:dyDescent="0.3"/>
    <row r="699" s="29" customFormat="1" ht="15.75" customHeight="1" x14ac:dyDescent="0.3"/>
    <row r="700" s="29" customFormat="1" ht="15.75" customHeight="1" x14ac:dyDescent="0.3"/>
    <row r="701" s="29" customFormat="1" ht="15.75" customHeight="1" x14ac:dyDescent="0.3"/>
    <row r="702" s="29" customFormat="1" ht="15.75" customHeight="1" x14ac:dyDescent="0.3"/>
    <row r="703" s="29" customFormat="1" ht="15.75" customHeight="1" x14ac:dyDescent="0.3"/>
    <row r="704" s="29" customFormat="1" ht="15.75" customHeight="1" x14ac:dyDescent="0.3"/>
    <row r="705" s="29" customFormat="1" ht="15.75" customHeight="1" x14ac:dyDescent="0.3"/>
    <row r="706" s="29" customFormat="1" ht="15.75" customHeight="1" x14ac:dyDescent="0.3"/>
    <row r="707" s="29" customFormat="1" ht="15.75" customHeight="1" x14ac:dyDescent="0.3"/>
    <row r="708" s="29" customFormat="1" ht="15.75" customHeight="1" x14ac:dyDescent="0.3"/>
    <row r="709" s="29" customFormat="1" ht="15.75" customHeight="1" x14ac:dyDescent="0.3"/>
    <row r="710" s="29" customFormat="1" ht="15.75" customHeight="1" x14ac:dyDescent="0.3"/>
    <row r="711" s="29" customFormat="1" ht="15.75" customHeight="1" x14ac:dyDescent="0.3"/>
    <row r="712" s="29" customFormat="1" ht="15.75" customHeight="1" x14ac:dyDescent="0.3"/>
    <row r="713" s="29" customFormat="1" ht="15.75" customHeight="1" x14ac:dyDescent="0.3"/>
    <row r="714" s="29" customFormat="1" ht="15.75" customHeight="1" x14ac:dyDescent="0.3"/>
    <row r="715" s="29" customFormat="1" ht="15.75" customHeight="1" x14ac:dyDescent="0.3"/>
    <row r="716" s="29" customFormat="1" ht="15.75" customHeight="1" x14ac:dyDescent="0.3"/>
    <row r="717" s="29" customFormat="1" ht="15.75" customHeight="1" x14ac:dyDescent="0.3"/>
    <row r="718" s="29" customFormat="1" ht="15.75" customHeight="1" x14ac:dyDescent="0.3"/>
    <row r="719" s="29" customFormat="1" ht="15.75" customHeight="1" x14ac:dyDescent="0.3"/>
    <row r="720" s="29" customFormat="1" ht="15.75" customHeight="1" x14ac:dyDescent="0.3"/>
    <row r="721" s="29" customFormat="1" ht="15.75" customHeight="1" x14ac:dyDescent="0.3"/>
    <row r="722" s="29" customFormat="1" ht="15.75" customHeight="1" x14ac:dyDescent="0.3"/>
    <row r="723" s="29" customFormat="1" ht="15.75" customHeight="1" x14ac:dyDescent="0.3"/>
    <row r="724" s="29" customFormat="1" ht="15.75" customHeight="1" x14ac:dyDescent="0.3"/>
    <row r="725" s="29" customFormat="1" ht="15.75" customHeight="1" x14ac:dyDescent="0.3"/>
    <row r="726" s="29" customFormat="1" ht="15.75" customHeight="1" x14ac:dyDescent="0.3"/>
    <row r="727" s="29" customFormat="1" ht="15.75" customHeight="1" x14ac:dyDescent="0.3"/>
    <row r="728" s="29" customFormat="1" ht="15.75" customHeight="1" x14ac:dyDescent="0.3"/>
    <row r="729" s="29" customFormat="1" ht="15.75" customHeight="1" x14ac:dyDescent="0.3"/>
    <row r="730" s="29" customFormat="1" ht="15.75" customHeight="1" x14ac:dyDescent="0.3"/>
    <row r="731" s="29" customFormat="1" ht="15.75" customHeight="1" x14ac:dyDescent="0.3"/>
    <row r="732" s="29" customFormat="1" ht="15.75" customHeight="1" x14ac:dyDescent="0.3"/>
    <row r="733" s="29" customFormat="1" ht="15.75" customHeight="1" x14ac:dyDescent="0.3"/>
    <row r="734" s="29" customFormat="1" ht="15.75" customHeight="1" x14ac:dyDescent="0.3"/>
    <row r="735" s="29" customFormat="1" ht="15.75" customHeight="1" x14ac:dyDescent="0.3"/>
    <row r="736" s="29" customFormat="1" ht="15.75" customHeight="1" x14ac:dyDescent="0.3"/>
    <row r="737" s="29" customFormat="1" ht="15.75" customHeight="1" x14ac:dyDescent="0.3"/>
    <row r="738" s="29" customFormat="1" ht="15.75" customHeight="1" x14ac:dyDescent="0.3"/>
    <row r="739" s="29" customFormat="1" ht="15.75" customHeight="1" x14ac:dyDescent="0.3"/>
    <row r="740" s="29" customFormat="1" ht="15.75" customHeight="1" x14ac:dyDescent="0.3"/>
    <row r="741" s="29" customFormat="1" ht="15.75" customHeight="1" x14ac:dyDescent="0.3"/>
    <row r="742" s="29" customFormat="1" ht="15.75" customHeight="1" x14ac:dyDescent="0.3"/>
    <row r="743" s="29" customFormat="1" ht="15.75" customHeight="1" x14ac:dyDescent="0.3"/>
    <row r="744" s="29" customFormat="1" ht="15.75" customHeight="1" x14ac:dyDescent="0.3"/>
    <row r="745" s="29" customFormat="1" ht="15.75" customHeight="1" x14ac:dyDescent="0.3"/>
    <row r="746" s="29" customFormat="1" ht="15.75" customHeight="1" x14ac:dyDescent="0.3"/>
    <row r="747" s="29" customFormat="1" ht="15.75" customHeight="1" x14ac:dyDescent="0.3"/>
    <row r="748" s="29" customFormat="1" ht="15.75" customHeight="1" x14ac:dyDescent="0.3"/>
    <row r="749" s="29" customFormat="1" ht="15.75" customHeight="1" x14ac:dyDescent="0.3"/>
    <row r="750" s="29" customFormat="1" ht="15.75" customHeight="1" x14ac:dyDescent="0.3"/>
    <row r="751" s="29" customFormat="1" ht="15.75" customHeight="1" x14ac:dyDescent="0.3"/>
    <row r="752" s="29" customFormat="1" ht="15.75" customHeight="1" x14ac:dyDescent="0.3"/>
    <row r="753" s="29" customFormat="1" ht="15.75" customHeight="1" x14ac:dyDescent="0.3"/>
    <row r="754" s="29" customFormat="1" ht="15.75" customHeight="1" x14ac:dyDescent="0.3"/>
    <row r="755" s="29" customFormat="1" ht="15.75" customHeight="1" x14ac:dyDescent="0.3"/>
    <row r="756" s="29" customFormat="1" ht="15.75" customHeight="1" x14ac:dyDescent="0.3"/>
    <row r="757" s="29" customFormat="1" ht="15.75" customHeight="1" x14ac:dyDescent="0.3"/>
    <row r="758" s="29" customFormat="1" ht="15.75" customHeight="1" x14ac:dyDescent="0.3"/>
    <row r="759" s="29" customFormat="1" ht="15.75" customHeight="1" x14ac:dyDescent="0.3"/>
    <row r="760" s="29" customFormat="1" ht="15.75" customHeight="1" x14ac:dyDescent="0.3"/>
    <row r="761" s="29" customFormat="1" ht="15.75" customHeight="1" x14ac:dyDescent="0.3"/>
    <row r="762" s="29" customFormat="1" ht="15.75" customHeight="1" x14ac:dyDescent="0.3"/>
    <row r="763" s="29" customFormat="1" ht="15.75" customHeight="1" x14ac:dyDescent="0.3"/>
    <row r="764" s="29" customFormat="1" ht="15.75" customHeight="1" x14ac:dyDescent="0.3"/>
    <row r="765" s="29" customFormat="1" ht="15.75" customHeight="1" x14ac:dyDescent="0.3"/>
    <row r="766" s="29" customFormat="1" ht="15.75" customHeight="1" x14ac:dyDescent="0.3"/>
    <row r="767" s="29" customFormat="1" ht="15.75" customHeight="1" x14ac:dyDescent="0.3"/>
    <row r="768" s="29" customFormat="1" ht="15.75" customHeight="1" x14ac:dyDescent="0.3"/>
    <row r="769" s="29" customFormat="1" ht="15.75" customHeight="1" x14ac:dyDescent="0.3"/>
    <row r="770" s="29" customFormat="1" ht="15.75" customHeight="1" x14ac:dyDescent="0.3"/>
    <row r="771" s="29" customFormat="1" ht="15.75" customHeight="1" x14ac:dyDescent="0.3"/>
    <row r="772" s="29" customFormat="1" ht="15.75" customHeight="1" x14ac:dyDescent="0.3"/>
    <row r="773" s="29" customFormat="1" ht="15.75" customHeight="1" x14ac:dyDescent="0.3"/>
    <row r="774" s="29" customFormat="1" ht="15.75" customHeight="1" x14ac:dyDescent="0.3"/>
    <row r="775" s="29" customFormat="1" ht="15.75" customHeight="1" x14ac:dyDescent="0.3"/>
    <row r="776" s="29" customFormat="1" ht="15.75" customHeight="1" x14ac:dyDescent="0.3"/>
    <row r="777" s="29" customFormat="1" ht="15.75" customHeight="1" x14ac:dyDescent="0.3"/>
    <row r="778" s="29" customFormat="1" ht="15.75" customHeight="1" x14ac:dyDescent="0.3"/>
    <row r="779" s="29" customFormat="1" ht="15.75" customHeight="1" x14ac:dyDescent="0.3"/>
    <row r="780" s="29" customFormat="1" ht="15.75" customHeight="1" x14ac:dyDescent="0.3"/>
    <row r="781" s="29" customFormat="1" ht="15.75" customHeight="1" x14ac:dyDescent="0.3"/>
    <row r="782" s="29" customFormat="1" ht="15.75" customHeight="1" x14ac:dyDescent="0.3"/>
    <row r="783" s="29" customFormat="1" ht="15.75" customHeight="1" x14ac:dyDescent="0.3"/>
    <row r="784" s="29" customFormat="1" ht="15.75" customHeight="1" x14ac:dyDescent="0.3"/>
    <row r="785" s="29" customFormat="1" ht="15.75" customHeight="1" x14ac:dyDescent="0.3"/>
    <row r="786" s="29" customFormat="1" ht="15.75" customHeight="1" x14ac:dyDescent="0.3"/>
    <row r="787" s="29" customFormat="1" ht="15.75" customHeight="1" x14ac:dyDescent="0.3"/>
    <row r="788" s="29" customFormat="1" ht="15.75" customHeight="1" x14ac:dyDescent="0.3"/>
    <row r="789" s="29" customFormat="1" ht="15.75" customHeight="1" x14ac:dyDescent="0.3"/>
    <row r="790" s="29" customFormat="1" ht="15.75" customHeight="1" x14ac:dyDescent="0.3"/>
    <row r="791" s="29" customFormat="1" ht="15.75" customHeight="1" x14ac:dyDescent="0.3"/>
    <row r="792" s="29" customFormat="1" ht="15.75" customHeight="1" x14ac:dyDescent="0.3"/>
    <row r="793" s="29" customFormat="1" ht="15.75" customHeight="1" x14ac:dyDescent="0.3"/>
    <row r="794" s="29" customFormat="1" ht="15.75" customHeight="1" x14ac:dyDescent="0.3"/>
    <row r="795" s="29" customFormat="1" ht="15.75" customHeight="1" x14ac:dyDescent="0.3"/>
    <row r="796" s="29" customFormat="1" ht="15.75" customHeight="1" x14ac:dyDescent="0.3"/>
    <row r="797" s="29" customFormat="1" ht="15.75" customHeight="1" x14ac:dyDescent="0.3"/>
    <row r="798" s="29" customFormat="1" ht="15.75" customHeight="1" x14ac:dyDescent="0.3"/>
    <row r="799" s="29" customFormat="1" ht="15.75" customHeight="1" x14ac:dyDescent="0.3"/>
    <row r="800" s="29" customFormat="1" ht="15.75" customHeight="1" x14ac:dyDescent="0.3"/>
    <row r="801" s="29" customFormat="1" ht="15.75" customHeight="1" x14ac:dyDescent="0.3"/>
    <row r="802" s="29" customFormat="1" ht="15.75" customHeight="1" x14ac:dyDescent="0.3"/>
    <row r="803" s="29" customFormat="1" ht="15.75" customHeight="1" x14ac:dyDescent="0.3"/>
    <row r="804" s="29" customFormat="1" ht="15.75" customHeight="1" x14ac:dyDescent="0.3"/>
    <row r="805" s="29" customFormat="1" ht="15.75" customHeight="1" x14ac:dyDescent="0.3"/>
    <row r="806" s="29" customFormat="1" ht="15.75" customHeight="1" x14ac:dyDescent="0.3"/>
    <row r="807" s="29" customFormat="1" ht="15.75" customHeight="1" x14ac:dyDescent="0.3"/>
    <row r="808" s="29" customFormat="1" ht="15.75" customHeight="1" x14ac:dyDescent="0.3"/>
    <row r="809" s="29" customFormat="1" ht="15.75" customHeight="1" x14ac:dyDescent="0.3"/>
    <row r="810" s="29" customFormat="1" ht="15.75" customHeight="1" x14ac:dyDescent="0.3"/>
    <row r="811" s="29" customFormat="1" ht="15.75" customHeight="1" x14ac:dyDescent="0.3"/>
    <row r="812" s="29" customFormat="1" ht="15.75" customHeight="1" x14ac:dyDescent="0.3"/>
    <row r="813" s="29" customFormat="1" ht="15.75" customHeight="1" x14ac:dyDescent="0.3"/>
    <row r="814" s="29" customFormat="1" ht="15.75" customHeight="1" x14ac:dyDescent="0.3"/>
    <row r="815" s="29" customFormat="1" ht="15.75" customHeight="1" x14ac:dyDescent="0.3"/>
    <row r="816" s="29" customFormat="1" ht="15.75" customHeight="1" x14ac:dyDescent="0.3"/>
    <row r="817" s="29" customFormat="1" ht="15.75" customHeight="1" x14ac:dyDescent="0.3"/>
    <row r="818" s="29" customFormat="1" ht="15.75" customHeight="1" x14ac:dyDescent="0.3"/>
    <row r="819" s="29" customFormat="1" ht="15.75" customHeight="1" x14ac:dyDescent="0.3"/>
    <row r="820" s="29" customFormat="1" ht="15.75" customHeight="1" x14ac:dyDescent="0.3"/>
    <row r="821" s="29" customFormat="1" ht="15.75" customHeight="1" x14ac:dyDescent="0.3"/>
    <row r="822" s="29" customFormat="1" ht="15.75" customHeight="1" x14ac:dyDescent="0.3"/>
    <row r="823" s="29" customFormat="1" ht="15.75" customHeight="1" x14ac:dyDescent="0.3"/>
    <row r="824" s="29" customFormat="1" ht="15.75" customHeight="1" x14ac:dyDescent="0.3"/>
    <row r="825" s="29" customFormat="1" ht="15.75" customHeight="1" x14ac:dyDescent="0.3"/>
    <row r="826" s="29" customFormat="1" ht="15.75" customHeight="1" x14ac:dyDescent="0.3"/>
    <row r="827" s="29" customFormat="1" ht="15.75" customHeight="1" x14ac:dyDescent="0.3"/>
    <row r="828" s="29" customFormat="1" ht="15.75" customHeight="1" x14ac:dyDescent="0.3"/>
    <row r="829" s="29" customFormat="1" ht="15.75" customHeight="1" x14ac:dyDescent="0.3"/>
    <row r="830" s="29" customFormat="1" ht="15.75" customHeight="1" x14ac:dyDescent="0.3"/>
    <row r="831" s="29" customFormat="1" ht="15.75" customHeight="1" x14ac:dyDescent="0.3"/>
    <row r="832" s="29" customFormat="1" ht="15.75" customHeight="1" x14ac:dyDescent="0.3"/>
    <row r="833" s="29" customFormat="1" ht="15.75" customHeight="1" x14ac:dyDescent="0.3"/>
    <row r="834" s="29" customFormat="1" ht="15.75" customHeight="1" x14ac:dyDescent="0.3"/>
    <row r="835" s="29" customFormat="1" ht="15.75" customHeight="1" x14ac:dyDescent="0.3"/>
    <row r="836" s="29" customFormat="1" ht="15.75" customHeight="1" x14ac:dyDescent="0.3"/>
    <row r="837" s="29" customFormat="1" ht="15.75" customHeight="1" x14ac:dyDescent="0.3"/>
    <row r="838" s="29" customFormat="1" ht="15.75" customHeight="1" x14ac:dyDescent="0.3"/>
    <row r="839" s="29" customFormat="1" ht="15.75" customHeight="1" x14ac:dyDescent="0.3"/>
    <row r="840" s="29" customFormat="1" ht="15.75" customHeight="1" x14ac:dyDescent="0.3"/>
    <row r="841" s="29" customFormat="1" ht="15.75" customHeight="1" x14ac:dyDescent="0.3"/>
    <row r="842" s="29" customFormat="1" ht="15.75" customHeight="1" x14ac:dyDescent="0.3"/>
    <row r="843" s="29" customFormat="1" ht="15.75" customHeight="1" x14ac:dyDescent="0.3"/>
    <row r="844" s="29" customFormat="1" ht="15.75" customHeight="1" x14ac:dyDescent="0.3"/>
    <row r="845" s="29" customFormat="1" ht="15.75" customHeight="1" x14ac:dyDescent="0.3"/>
    <row r="846" s="29" customFormat="1" ht="15.75" customHeight="1" x14ac:dyDescent="0.3"/>
    <row r="847" s="29" customFormat="1" ht="15.75" customHeight="1" x14ac:dyDescent="0.3"/>
    <row r="848" s="29" customFormat="1" ht="15.75" customHeight="1" x14ac:dyDescent="0.3"/>
    <row r="849" s="29" customFormat="1" ht="15.75" customHeight="1" x14ac:dyDescent="0.3"/>
    <row r="850" s="29" customFormat="1" ht="15.75" customHeight="1" x14ac:dyDescent="0.3"/>
    <row r="851" s="29" customFormat="1" ht="15.75" customHeight="1" x14ac:dyDescent="0.3"/>
    <row r="852" s="29" customFormat="1" ht="15.75" customHeight="1" x14ac:dyDescent="0.3"/>
    <row r="853" s="29" customFormat="1" ht="15.75" customHeight="1" x14ac:dyDescent="0.3"/>
    <row r="854" s="29" customFormat="1" ht="15.75" customHeight="1" x14ac:dyDescent="0.3"/>
    <row r="855" s="29" customFormat="1" ht="15.75" customHeight="1" x14ac:dyDescent="0.3"/>
    <row r="856" s="29" customFormat="1" ht="15.75" customHeight="1" x14ac:dyDescent="0.3"/>
    <row r="857" s="29" customFormat="1" ht="15.75" customHeight="1" x14ac:dyDescent="0.3"/>
    <row r="858" s="29" customFormat="1" ht="15.75" customHeight="1" x14ac:dyDescent="0.3"/>
    <row r="859" s="29" customFormat="1" ht="15.75" customHeight="1" x14ac:dyDescent="0.3"/>
    <row r="860" s="29" customFormat="1" ht="15.75" customHeight="1" x14ac:dyDescent="0.3"/>
    <row r="861" s="29" customFormat="1" ht="15.75" customHeight="1" x14ac:dyDescent="0.3"/>
    <row r="862" s="29" customFormat="1" ht="15.75" customHeight="1" x14ac:dyDescent="0.3"/>
    <row r="863" s="29" customFormat="1" ht="15.75" customHeight="1" x14ac:dyDescent="0.3"/>
    <row r="864" s="29" customFormat="1" ht="15.75" customHeight="1" x14ac:dyDescent="0.3"/>
    <row r="865" s="29" customFormat="1" ht="15.75" customHeight="1" x14ac:dyDescent="0.3"/>
    <row r="866" s="29" customFormat="1" ht="15.75" customHeight="1" x14ac:dyDescent="0.3"/>
    <row r="867" s="29" customFormat="1" ht="15.75" customHeight="1" x14ac:dyDescent="0.3"/>
    <row r="868" s="29" customFormat="1" ht="15.75" customHeight="1" x14ac:dyDescent="0.3"/>
    <row r="869" s="29" customFormat="1" ht="15.75" customHeight="1" x14ac:dyDescent="0.3"/>
    <row r="870" s="29" customFormat="1" ht="15.75" customHeight="1" x14ac:dyDescent="0.3"/>
    <row r="871" s="29" customFormat="1" ht="15.75" customHeight="1" x14ac:dyDescent="0.3"/>
    <row r="872" s="29" customFormat="1" ht="15.75" customHeight="1" x14ac:dyDescent="0.3"/>
    <row r="873" s="29" customFormat="1" ht="15.75" customHeight="1" x14ac:dyDescent="0.3"/>
    <row r="874" s="29" customFormat="1" ht="15.75" customHeight="1" x14ac:dyDescent="0.3"/>
    <row r="875" s="29" customFormat="1" ht="15.75" customHeight="1" x14ac:dyDescent="0.3"/>
    <row r="876" s="29" customFormat="1" ht="15.75" customHeight="1" x14ac:dyDescent="0.3"/>
    <row r="877" s="29" customFormat="1" ht="15.75" customHeight="1" x14ac:dyDescent="0.3"/>
    <row r="878" s="29" customFormat="1" ht="15.75" customHeight="1" x14ac:dyDescent="0.3"/>
    <row r="879" s="29" customFormat="1" ht="15.75" customHeight="1" x14ac:dyDescent="0.3"/>
    <row r="880" s="29" customFormat="1" ht="15.75" customHeight="1" x14ac:dyDescent="0.3"/>
    <row r="881" s="29" customFormat="1" ht="15.75" customHeight="1" x14ac:dyDescent="0.3"/>
    <row r="882" s="29" customFormat="1" ht="15.75" customHeight="1" x14ac:dyDescent="0.3"/>
    <row r="883" s="29" customFormat="1" ht="15.75" customHeight="1" x14ac:dyDescent="0.3"/>
    <row r="884" s="29" customFormat="1" ht="15.75" customHeight="1" x14ac:dyDescent="0.3"/>
    <row r="885" s="29" customFormat="1" ht="15.75" customHeight="1" x14ac:dyDescent="0.3"/>
    <row r="886" s="29" customFormat="1" ht="15.75" customHeight="1" x14ac:dyDescent="0.3"/>
    <row r="887" s="29" customFormat="1" ht="15.75" customHeight="1" x14ac:dyDescent="0.3"/>
    <row r="888" s="29" customFormat="1" ht="15.75" customHeight="1" x14ac:dyDescent="0.3"/>
    <row r="889" s="29" customFormat="1" ht="15.75" customHeight="1" x14ac:dyDescent="0.3"/>
    <row r="890" s="29" customFormat="1" ht="15.75" customHeight="1" x14ac:dyDescent="0.3"/>
    <row r="891" s="29" customFormat="1" ht="15.75" customHeight="1" x14ac:dyDescent="0.3"/>
    <row r="892" s="29" customFormat="1" ht="15.75" customHeight="1" x14ac:dyDescent="0.3"/>
    <row r="893" s="29" customFormat="1" ht="15.75" customHeight="1" x14ac:dyDescent="0.3"/>
    <row r="894" s="29" customFormat="1" ht="15.75" customHeight="1" x14ac:dyDescent="0.3"/>
    <row r="895" s="29" customFormat="1" ht="15.75" customHeight="1" x14ac:dyDescent="0.3"/>
    <row r="896" s="29" customFormat="1" ht="15.75" customHeight="1" x14ac:dyDescent="0.3"/>
    <row r="897" s="29" customFormat="1" ht="15.75" customHeight="1" x14ac:dyDescent="0.3"/>
    <row r="898" s="29" customFormat="1" ht="15.75" customHeight="1" x14ac:dyDescent="0.3"/>
    <row r="899" s="29" customFormat="1" ht="15.75" customHeight="1" x14ac:dyDescent="0.3"/>
    <row r="900" s="29" customFormat="1" ht="15.75" customHeight="1" x14ac:dyDescent="0.3"/>
    <row r="901" s="29" customFormat="1" ht="15.75" customHeight="1" x14ac:dyDescent="0.3"/>
    <row r="902" s="29" customFormat="1" ht="15.75" customHeight="1" x14ac:dyDescent="0.3"/>
    <row r="903" s="29" customFormat="1" ht="15.75" customHeight="1" x14ac:dyDescent="0.3"/>
    <row r="904" s="29" customFormat="1" ht="15.75" customHeight="1" x14ac:dyDescent="0.3"/>
    <row r="905" s="29" customFormat="1" ht="15.75" customHeight="1" x14ac:dyDescent="0.3"/>
    <row r="906" s="29" customFormat="1" ht="15.75" customHeight="1" x14ac:dyDescent="0.3"/>
    <row r="907" s="29" customFormat="1" ht="15.75" customHeight="1" x14ac:dyDescent="0.3"/>
    <row r="908" s="29" customFormat="1" ht="15.75" customHeight="1" x14ac:dyDescent="0.3"/>
    <row r="909" s="29" customFormat="1" ht="15.75" customHeight="1" x14ac:dyDescent="0.3"/>
    <row r="910" s="29" customFormat="1" ht="15.75" customHeight="1" x14ac:dyDescent="0.3"/>
    <row r="911" s="29" customFormat="1" ht="15.75" customHeight="1" x14ac:dyDescent="0.3"/>
    <row r="912" s="29" customFormat="1" ht="15.75" customHeight="1" x14ac:dyDescent="0.3"/>
    <row r="913" s="29" customFormat="1" ht="15.75" customHeight="1" x14ac:dyDescent="0.3"/>
    <row r="914" s="29" customFormat="1" ht="15.75" customHeight="1" x14ac:dyDescent="0.3"/>
    <row r="915" s="29" customFormat="1" ht="15.75" customHeight="1" x14ac:dyDescent="0.3"/>
    <row r="916" s="29" customFormat="1" ht="15.75" customHeight="1" x14ac:dyDescent="0.3"/>
    <row r="917" s="29" customFormat="1" ht="15.75" customHeight="1" x14ac:dyDescent="0.3"/>
    <row r="918" s="29" customFormat="1" ht="15.75" customHeight="1" x14ac:dyDescent="0.3"/>
    <row r="919" s="29" customFormat="1" ht="15.75" customHeight="1" x14ac:dyDescent="0.3"/>
    <row r="920" s="29" customFormat="1" ht="15.75" customHeight="1" x14ac:dyDescent="0.3"/>
    <row r="921" s="29" customFormat="1" ht="15.75" customHeight="1" x14ac:dyDescent="0.3"/>
    <row r="922" s="29" customFormat="1" ht="15.75" customHeight="1" x14ac:dyDescent="0.3"/>
    <row r="923" s="29" customFormat="1" ht="15.75" customHeight="1" x14ac:dyDescent="0.3"/>
    <row r="924" s="29" customFormat="1" ht="15.75" customHeight="1" x14ac:dyDescent="0.3"/>
    <row r="925" s="29" customFormat="1" ht="15.75" customHeight="1" x14ac:dyDescent="0.3"/>
    <row r="926" s="29" customFormat="1" ht="15.75" customHeight="1" x14ac:dyDescent="0.3"/>
    <row r="927" s="29" customFormat="1" ht="15.75" customHeight="1" x14ac:dyDescent="0.3"/>
    <row r="928" s="29" customFormat="1" ht="15.75" customHeight="1" x14ac:dyDescent="0.3"/>
    <row r="929" s="29" customFormat="1" ht="15.75" customHeight="1" x14ac:dyDescent="0.3"/>
    <row r="930" s="29" customFormat="1" ht="15.75" customHeight="1" x14ac:dyDescent="0.3"/>
    <row r="931" s="29" customFormat="1" ht="15.75" customHeight="1" x14ac:dyDescent="0.3"/>
    <row r="932" s="29" customFormat="1" ht="15.75" customHeight="1" x14ac:dyDescent="0.3"/>
    <row r="933" s="29" customFormat="1" ht="15.75" customHeight="1" x14ac:dyDescent="0.3"/>
    <row r="934" s="29" customFormat="1" ht="15.75" customHeight="1" x14ac:dyDescent="0.3"/>
    <row r="935" s="29" customFormat="1" ht="15.75" customHeight="1" x14ac:dyDescent="0.3"/>
    <row r="936" s="29" customFormat="1" ht="15.75" customHeight="1" x14ac:dyDescent="0.3"/>
    <row r="937" s="29" customFormat="1" ht="15.75" customHeight="1" x14ac:dyDescent="0.3"/>
    <row r="938" s="29" customFormat="1" ht="15.75" customHeight="1" x14ac:dyDescent="0.3"/>
    <row r="939" s="29" customFormat="1" ht="15.75" customHeight="1" x14ac:dyDescent="0.3"/>
    <row r="940" s="29" customFormat="1" ht="15.75" customHeight="1" x14ac:dyDescent="0.3"/>
    <row r="941" s="29" customFormat="1" ht="15.75" customHeight="1" x14ac:dyDescent="0.3"/>
    <row r="942" s="29" customFormat="1" ht="15.75" customHeight="1" x14ac:dyDescent="0.3"/>
    <row r="943" s="29" customFormat="1" ht="15.75" customHeight="1" x14ac:dyDescent="0.3"/>
    <row r="944" s="29" customFormat="1" ht="15.75" customHeight="1" x14ac:dyDescent="0.3"/>
    <row r="945" s="29" customFormat="1" ht="15.75" customHeight="1" x14ac:dyDescent="0.3"/>
    <row r="946" s="29" customFormat="1" ht="15.75" customHeight="1" x14ac:dyDescent="0.3"/>
    <row r="947" s="29" customFormat="1" ht="15.75" customHeight="1" x14ac:dyDescent="0.3"/>
    <row r="948" s="29" customFormat="1" ht="15.75" customHeight="1" x14ac:dyDescent="0.3"/>
    <row r="949" s="29" customFormat="1" ht="15.75" customHeight="1" x14ac:dyDescent="0.3"/>
    <row r="950" s="29" customFormat="1" ht="15.75" customHeight="1" x14ac:dyDescent="0.3"/>
    <row r="951" s="29" customFormat="1" ht="15.75" customHeight="1" x14ac:dyDescent="0.3"/>
    <row r="952" s="29" customFormat="1" ht="15.75" customHeight="1" x14ac:dyDescent="0.3"/>
    <row r="953" s="29" customFormat="1" ht="15.75" customHeight="1" x14ac:dyDescent="0.3"/>
    <row r="954" s="29" customFormat="1" ht="15.75" customHeight="1" x14ac:dyDescent="0.3"/>
    <row r="955" s="29" customFormat="1" ht="15.75" customHeight="1" x14ac:dyDescent="0.3"/>
    <row r="956" s="29" customFormat="1" ht="15.75" customHeight="1" x14ac:dyDescent="0.3"/>
    <row r="957" s="29" customFormat="1" ht="15.75" customHeight="1" x14ac:dyDescent="0.3"/>
    <row r="958" s="29" customFormat="1" ht="15.75" customHeight="1" x14ac:dyDescent="0.3"/>
    <row r="959" s="29" customFormat="1" ht="15.75" customHeight="1" x14ac:dyDescent="0.3"/>
    <row r="960" s="29" customFormat="1" ht="15.75" customHeight="1" x14ac:dyDescent="0.3"/>
    <row r="961" s="29" customFormat="1" ht="15.75" customHeight="1" x14ac:dyDescent="0.3"/>
    <row r="962" s="29" customFormat="1" ht="15.75" customHeight="1" x14ac:dyDescent="0.3"/>
    <row r="963" s="29" customFormat="1" ht="15.75" customHeight="1" x14ac:dyDescent="0.3"/>
    <row r="964" s="29" customFormat="1" ht="15.75" customHeight="1" x14ac:dyDescent="0.3"/>
    <row r="965" s="29" customFormat="1" ht="15.75" customHeight="1" x14ac:dyDescent="0.3"/>
    <row r="966" s="29" customFormat="1" ht="15.75" customHeight="1" x14ac:dyDescent="0.3"/>
    <row r="967" s="29" customFormat="1" ht="15.75" customHeight="1" x14ac:dyDescent="0.3"/>
    <row r="968" s="29" customFormat="1" ht="15.75" customHeight="1" x14ac:dyDescent="0.3"/>
    <row r="969" s="29" customFormat="1" ht="15.75" customHeight="1" x14ac:dyDescent="0.3"/>
    <row r="970" s="29" customFormat="1" ht="15.75" customHeight="1" x14ac:dyDescent="0.3"/>
    <row r="971" s="29" customFormat="1" ht="15.75" customHeight="1" x14ac:dyDescent="0.3"/>
    <row r="972" s="29" customFormat="1" ht="15.75" customHeight="1" x14ac:dyDescent="0.3"/>
    <row r="973" s="29" customFormat="1" ht="15.75" customHeight="1" x14ac:dyDescent="0.3"/>
    <row r="974" s="29" customFormat="1" ht="15.75" customHeight="1" x14ac:dyDescent="0.3"/>
    <row r="975" s="29" customFormat="1" ht="15.75" customHeight="1" x14ac:dyDescent="0.3"/>
    <row r="976" s="29" customFormat="1" ht="15.75" customHeight="1" x14ac:dyDescent="0.3"/>
    <row r="977" s="29" customFormat="1" ht="15.75" customHeight="1" x14ac:dyDescent="0.3"/>
    <row r="978" s="29" customFormat="1" ht="15.75" customHeight="1" x14ac:dyDescent="0.3"/>
    <row r="979" s="29" customFormat="1" ht="15.75" customHeight="1" x14ac:dyDescent="0.3"/>
    <row r="980" s="29" customFormat="1" ht="15.75" customHeight="1" x14ac:dyDescent="0.3"/>
    <row r="981" s="29" customFormat="1" ht="15.75" customHeight="1" x14ac:dyDescent="0.3"/>
    <row r="982" s="29" customFormat="1" ht="15.75" customHeight="1" x14ac:dyDescent="0.3"/>
    <row r="983" s="29" customFormat="1" ht="15.75" customHeight="1" x14ac:dyDescent="0.3"/>
    <row r="984" s="29" customFormat="1" ht="15.75" customHeight="1" x14ac:dyDescent="0.3"/>
    <row r="985" s="29" customFormat="1" ht="15.75" customHeight="1" x14ac:dyDescent="0.3"/>
    <row r="986" s="29" customFormat="1" ht="15.75" customHeight="1" x14ac:dyDescent="0.3"/>
    <row r="987" s="29" customFormat="1" ht="15.75" customHeight="1" x14ac:dyDescent="0.3"/>
    <row r="988" s="29" customFormat="1" ht="15.75" customHeight="1" x14ac:dyDescent="0.3"/>
    <row r="989" s="29" customFormat="1" ht="15.75" customHeight="1" x14ac:dyDescent="0.3"/>
    <row r="990" s="29" customFormat="1" ht="15.75" customHeight="1" x14ac:dyDescent="0.3"/>
    <row r="991" s="29" customFormat="1" ht="15.75" customHeight="1" x14ac:dyDescent="0.3"/>
    <row r="992" s="29" customFormat="1" ht="15.75" customHeight="1" x14ac:dyDescent="0.3"/>
    <row r="993" s="29" customFormat="1" ht="15.75" customHeight="1" x14ac:dyDescent="0.3"/>
    <row r="994" s="29" customFormat="1" ht="15.75" customHeight="1" x14ac:dyDescent="0.3"/>
    <row r="995" s="29" customFormat="1" ht="15.75" customHeight="1" x14ac:dyDescent="0.3"/>
    <row r="996" s="29" customFormat="1" ht="15.75" customHeight="1" x14ac:dyDescent="0.3"/>
    <row r="997" s="29" customFormat="1" ht="15.75" customHeight="1" x14ac:dyDescent="0.3"/>
    <row r="998" s="29" customFormat="1" ht="15.75" customHeight="1" x14ac:dyDescent="0.3"/>
    <row r="999" s="29" customFormat="1" ht="15.75" customHeight="1" x14ac:dyDescent="0.3"/>
    <row r="1000" s="29" customFormat="1" ht="15.75" customHeight="1" x14ac:dyDescent="0.3"/>
  </sheetData>
  <pageMargins left="0.78740157499999996" right="0.78740157499999996" top="0.984251969" bottom="0.984251969" header="0" footer="0"/>
  <pageSetup orientation="landscape"/>
  <ignoredErrors>
    <ignoredError sqref="C11" formula="1"/>
  </ignoredError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6:H1000"/>
  <sheetViews>
    <sheetView showGridLines="0" workbookViewId="0">
      <selection activeCell="H8" sqref="H8"/>
    </sheetView>
  </sheetViews>
  <sheetFormatPr defaultColWidth="12.6640625" defaultRowHeight="15" customHeight="1" x14ac:dyDescent="0.25"/>
  <cols>
    <col min="1" max="1" width="14.33203125" customWidth="1"/>
    <col min="2" max="2" width="58.44140625" customWidth="1"/>
    <col min="3" max="3" width="17.33203125" customWidth="1"/>
    <col min="4" max="4" width="16.88671875" customWidth="1"/>
    <col min="5" max="6" width="14.33203125" customWidth="1"/>
    <col min="7" max="7" width="29.77734375" customWidth="1"/>
    <col min="8" max="8" width="16.109375" customWidth="1"/>
    <col min="9" max="26" width="14.33203125" customWidth="1"/>
  </cols>
  <sheetData>
    <row r="6" spans="2:8" ht="23.25" customHeight="1" x14ac:dyDescent="0.3">
      <c r="B6" s="20" t="s">
        <v>41</v>
      </c>
      <c r="C6" s="12" t="s">
        <v>42</v>
      </c>
      <c r="D6" s="21" t="s">
        <v>43</v>
      </c>
      <c r="F6" s="80" t="s">
        <v>44</v>
      </c>
      <c r="G6" s="81"/>
      <c r="H6" s="12" t="s">
        <v>45</v>
      </c>
    </row>
    <row r="7" spans="2:8" ht="21" customHeight="1" x14ac:dyDescent="0.3">
      <c r="B7" s="22" t="s">
        <v>33</v>
      </c>
      <c r="C7" s="15">
        <v>15000</v>
      </c>
      <c r="D7" s="15">
        <f t="shared" ref="D7:D15" si="0">C7*12</f>
        <v>180000</v>
      </c>
      <c r="F7" s="13" t="s">
        <v>23</v>
      </c>
      <c r="G7" s="14"/>
      <c r="H7" s="15">
        <v>75000</v>
      </c>
    </row>
    <row r="8" spans="2:8" ht="21" customHeight="1" x14ac:dyDescent="0.3">
      <c r="B8" s="22" t="s">
        <v>34</v>
      </c>
      <c r="C8" s="15">
        <v>2000</v>
      </c>
      <c r="D8" s="23">
        <f t="shared" si="0"/>
        <v>24000</v>
      </c>
      <c r="F8" s="13" t="s">
        <v>24</v>
      </c>
      <c r="G8" s="14"/>
      <c r="H8" s="15">
        <v>5000</v>
      </c>
    </row>
    <row r="9" spans="2:8" ht="45" customHeight="1" x14ac:dyDescent="0.3">
      <c r="B9" s="24" t="s">
        <v>83</v>
      </c>
      <c r="C9" s="15">
        <v>9000</v>
      </c>
      <c r="D9" s="23">
        <f t="shared" si="0"/>
        <v>108000</v>
      </c>
      <c r="F9" s="13" t="s">
        <v>25</v>
      </c>
      <c r="G9" s="14"/>
      <c r="H9" s="15">
        <v>150000</v>
      </c>
    </row>
    <row r="10" spans="2:8" ht="21" customHeight="1" x14ac:dyDescent="0.3">
      <c r="B10" s="22" t="s">
        <v>36</v>
      </c>
      <c r="C10" s="15">
        <v>3000</v>
      </c>
      <c r="D10" s="23">
        <f t="shared" si="0"/>
        <v>36000</v>
      </c>
      <c r="F10" s="13" t="s">
        <v>26</v>
      </c>
      <c r="G10" s="14"/>
      <c r="H10" s="15">
        <v>20000</v>
      </c>
    </row>
    <row r="11" spans="2:8" ht="21" customHeight="1" x14ac:dyDescent="0.3">
      <c r="B11" s="22" t="s">
        <v>46</v>
      </c>
      <c r="C11" s="15">
        <v>500</v>
      </c>
      <c r="D11" s="23">
        <f t="shared" si="0"/>
        <v>6000</v>
      </c>
      <c r="F11" s="13" t="s">
        <v>27</v>
      </c>
      <c r="G11" s="14"/>
      <c r="H11" s="15">
        <v>20000</v>
      </c>
    </row>
    <row r="12" spans="2:8" ht="21" customHeight="1" x14ac:dyDescent="0.3">
      <c r="B12" s="22" t="s">
        <v>38</v>
      </c>
      <c r="C12" s="15">
        <v>750</v>
      </c>
      <c r="D12" s="23">
        <f t="shared" si="0"/>
        <v>9000</v>
      </c>
      <c r="F12" s="13" t="s">
        <v>28</v>
      </c>
      <c r="G12" s="14"/>
      <c r="H12" s="15">
        <v>70000</v>
      </c>
    </row>
    <row r="13" spans="2:8" ht="21" customHeight="1" x14ac:dyDescent="0.3">
      <c r="B13" s="22" t="s">
        <v>39</v>
      </c>
      <c r="C13" s="15">
        <v>3000</v>
      </c>
      <c r="D13" s="23">
        <f t="shared" si="0"/>
        <v>36000</v>
      </c>
      <c r="F13" s="16" t="s">
        <v>29</v>
      </c>
      <c r="G13" s="17"/>
      <c r="H13" s="18">
        <v>50000</v>
      </c>
    </row>
    <row r="14" spans="2:8" ht="25.2" customHeight="1" x14ac:dyDescent="0.25">
      <c r="B14" s="25" t="s">
        <v>40</v>
      </c>
      <c r="C14" s="18">
        <v>3000</v>
      </c>
      <c r="D14" s="26">
        <f t="shared" si="0"/>
        <v>36000</v>
      </c>
      <c r="F14" s="82" t="s">
        <v>82</v>
      </c>
      <c r="G14" s="82"/>
      <c r="H14" s="19">
        <f>SUM(H7:H13)</f>
        <v>390000</v>
      </c>
    </row>
    <row r="15" spans="2:8" ht="21" customHeight="1" x14ac:dyDescent="0.25">
      <c r="B15" s="27" t="s">
        <v>81</v>
      </c>
      <c r="C15" s="28">
        <f>SUM(C7:C14)</f>
        <v>36250</v>
      </c>
      <c r="D15" s="28">
        <f t="shared" si="0"/>
        <v>435000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F6:G6"/>
    <mergeCell ref="F14:G14"/>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abSelected="1" zoomScale="130" zoomScaleNormal="130" workbookViewId="0">
      <selection activeCell="C60" sqref="C60"/>
    </sheetView>
  </sheetViews>
  <sheetFormatPr defaultColWidth="12.6640625" defaultRowHeight="15" customHeight="1" x14ac:dyDescent="0.25"/>
  <cols>
    <col min="1" max="1" width="31.88671875" customWidth="1"/>
    <col min="2" max="5" width="17.21875" customWidth="1"/>
    <col min="6" max="6" width="21.6640625" customWidth="1"/>
    <col min="7" max="7" width="14.5546875" bestFit="1" customWidth="1"/>
    <col min="8" max="26" width="9.109375" customWidth="1"/>
  </cols>
  <sheetData>
    <row r="1" spans="1:26" ht="29.4" customHeight="1" x14ac:dyDescent="0.3">
      <c r="A1" s="1" t="s">
        <v>47</v>
      </c>
      <c r="B1" s="2"/>
      <c r="C1" s="2"/>
      <c r="D1" s="2"/>
      <c r="E1" s="2"/>
      <c r="F1" s="2"/>
      <c r="G1" s="2"/>
      <c r="H1" s="2"/>
      <c r="I1" s="2"/>
      <c r="J1" s="2"/>
      <c r="K1" s="2"/>
      <c r="L1" s="2"/>
      <c r="M1" s="2"/>
      <c r="N1" s="2"/>
      <c r="O1" s="2"/>
      <c r="P1" s="2"/>
      <c r="Q1" s="2"/>
      <c r="R1" s="2"/>
      <c r="S1" s="2"/>
      <c r="T1" s="2"/>
      <c r="U1" s="2"/>
      <c r="V1" s="2"/>
      <c r="W1" s="2"/>
      <c r="X1" s="2"/>
      <c r="Y1" s="2"/>
      <c r="Z1" s="2"/>
    </row>
    <row r="2" spans="1:26" ht="12.7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2.75" customHeight="1" x14ac:dyDescent="0.25">
      <c r="A3" s="2"/>
      <c r="B3" s="3" t="s">
        <v>48</v>
      </c>
      <c r="C3" s="3" t="s">
        <v>49</v>
      </c>
      <c r="D3" s="3" t="s">
        <v>50</v>
      </c>
      <c r="E3" s="3" t="s">
        <v>51</v>
      </c>
      <c r="F3" s="3" t="s">
        <v>52</v>
      </c>
      <c r="G3" s="2"/>
      <c r="H3" s="2"/>
      <c r="I3" s="2"/>
      <c r="J3" s="2"/>
      <c r="K3" s="2"/>
      <c r="L3" s="2"/>
      <c r="M3" s="2"/>
      <c r="N3" s="2"/>
      <c r="O3" s="2"/>
      <c r="P3" s="2"/>
      <c r="Q3" s="2"/>
      <c r="R3" s="2"/>
      <c r="S3" s="2"/>
      <c r="T3" s="2"/>
      <c r="U3" s="2"/>
      <c r="V3" s="2"/>
      <c r="W3" s="2"/>
      <c r="X3" s="2"/>
      <c r="Y3" s="2"/>
      <c r="Z3" s="2"/>
    </row>
    <row r="4" spans="1:26" ht="12.75" customHeight="1" x14ac:dyDescent="0.25">
      <c r="A4" s="4" t="s">
        <v>53</v>
      </c>
      <c r="B4" s="5">
        <f>'Entrada de $'!N5</f>
        <v>947100</v>
      </c>
      <c r="C4" s="5">
        <f>B4*(1+InformacoesBasicas!D29)</f>
        <v>1089165</v>
      </c>
      <c r="D4" s="5">
        <f>C4*(1+InformacoesBasicas!D30)</f>
        <v>1361456.25</v>
      </c>
      <c r="E4" s="5">
        <f>D4*(1+InformacoesBasicas!D31)</f>
        <v>1906038.7499999998</v>
      </c>
      <c r="F4" s="5">
        <f>E4*(1+InformacoesBasicas!D32)</f>
        <v>3049662</v>
      </c>
      <c r="G4" s="2"/>
      <c r="H4" s="2"/>
      <c r="I4" s="2"/>
      <c r="J4" s="2"/>
      <c r="K4" s="2"/>
      <c r="L4" s="2"/>
      <c r="M4" s="2"/>
      <c r="N4" s="2"/>
      <c r="O4" s="2"/>
      <c r="P4" s="2"/>
      <c r="Q4" s="2"/>
      <c r="R4" s="2"/>
      <c r="S4" s="2"/>
      <c r="T4" s="2"/>
      <c r="U4" s="2"/>
      <c r="V4" s="2"/>
      <c r="W4" s="2"/>
      <c r="X4" s="2"/>
      <c r="Y4" s="2"/>
      <c r="Z4" s="2"/>
    </row>
    <row r="5" spans="1:26" ht="12.75" customHeight="1" x14ac:dyDescent="0.25">
      <c r="A5" s="2" t="s">
        <v>54</v>
      </c>
      <c r="B5" s="6">
        <f>IF(InformacoesBasicas!$B10=1,0.18,IF(InformacoesBasicas!$B10=2,0.05,IF(InformacoesBasicas!$B10=1,0.1,0.1)))*B4</f>
        <v>47355</v>
      </c>
      <c r="C5" s="6">
        <f>IF(InformacoesBasicas!$B10=1,0.18,IF(InformacoesBasicas!$B10=2,0.05,IF(InformacoesBasicas!$B10=1,0.1,0.1)))*C4</f>
        <v>54458.25</v>
      </c>
      <c r="D5" s="6">
        <f>IF(InformacoesBasicas!$B10=1,0.18,IF(InformacoesBasicas!$B10=2,0.05,IF(InformacoesBasicas!$B10=1,0.1,0.1)))*D4</f>
        <v>68072.8125</v>
      </c>
      <c r="E5" s="6">
        <f>IF(InformacoesBasicas!$B10=1,0.18,IF(InformacoesBasicas!$B10=2,0.05,IF(InformacoesBasicas!$B10=1,0.1,0.1)))*E4</f>
        <v>95301.9375</v>
      </c>
      <c r="F5" s="6">
        <f>IF(InformacoesBasicas!$B10=1,0.18,IF(InformacoesBasicas!$B10=2,0.05,IF(InformacoesBasicas!$B10=1,0.1,0.1)))*F4</f>
        <v>152483.1</v>
      </c>
      <c r="G5" s="2"/>
      <c r="H5" s="2"/>
      <c r="I5" s="2"/>
      <c r="J5" s="2"/>
      <c r="K5" s="2"/>
      <c r="L5" s="2"/>
      <c r="M5" s="2"/>
      <c r="N5" s="2"/>
      <c r="O5" s="2"/>
      <c r="P5" s="2"/>
      <c r="Q5" s="2"/>
      <c r="R5" s="2"/>
      <c r="S5" s="2"/>
      <c r="T5" s="2"/>
      <c r="U5" s="2"/>
      <c r="V5" s="2"/>
      <c r="W5" s="2"/>
      <c r="X5" s="2"/>
      <c r="Y5" s="2"/>
      <c r="Z5" s="2"/>
    </row>
    <row r="6" spans="1:26" ht="12.75" customHeight="1" x14ac:dyDescent="0.25">
      <c r="A6" s="4" t="s">
        <v>55</v>
      </c>
      <c r="B6" s="5">
        <f>B4-B5</f>
        <v>899745</v>
      </c>
      <c r="C6" s="5">
        <f>C4-C5</f>
        <v>1034706.75</v>
      </c>
      <c r="D6" s="5">
        <f>D4-D5</f>
        <v>1293383.4375</v>
      </c>
      <c r="E6" s="5">
        <f>E4-E5</f>
        <v>1810736.8124999998</v>
      </c>
      <c r="F6" s="5">
        <f>F4-F5</f>
        <v>2897178.9</v>
      </c>
      <c r="G6" s="2"/>
      <c r="H6" s="2"/>
      <c r="I6" s="2"/>
      <c r="J6" s="2"/>
      <c r="K6" s="2"/>
      <c r="L6" s="2"/>
      <c r="M6" s="2"/>
      <c r="N6" s="2"/>
      <c r="O6" s="2"/>
      <c r="P6" s="2"/>
      <c r="Q6" s="2"/>
      <c r="R6" s="2"/>
      <c r="S6" s="2"/>
      <c r="T6" s="2"/>
      <c r="U6" s="2"/>
      <c r="V6" s="2"/>
      <c r="W6" s="2"/>
      <c r="X6" s="2"/>
      <c r="Y6" s="2"/>
      <c r="Z6" s="2"/>
    </row>
    <row r="7" spans="1:26" ht="12.75" customHeight="1" x14ac:dyDescent="0.25">
      <c r="A7" s="7" t="s">
        <v>56</v>
      </c>
      <c r="B7" s="8">
        <f>'Calculo de Custo'!N5</f>
        <v>482775</v>
      </c>
      <c r="C7" s="6">
        <f>B7*(1+InformacoesBasicas!D43)</f>
        <v>531052.5</v>
      </c>
      <c r="D7" s="6">
        <f>C7*(1+InformacoesBasicas!D44)</f>
        <v>610710.375</v>
      </c>
      <c r="E7" s="6">
        <f>D7*(1+InformacoesBasicas!D45)</f>
        <v>732852.45</v>
      </c>
      <c r="F7" s="6">
        <f>E7*(1+InformacoesBasicas!D46)</f>
        <v>916065.5625</v>
      </c>
      <c r="G7" s="2"/>
      <c r="H7" s="2"/>
      <c r="I7" s="2"/>
      <c r="J7" s="2"/>
      <c r="K7" s="2"/>
      <c r="L7" s="2"/>
      <c r="M7" s="2"/>
      <c r="N7" s="2"/>
      <c r="O7" s="2"/>
      <c r="P7" s="2"/>
      <c r="Q7" s="2"/>
      <c r="R7" s="2"/>
      <c r="S7" s="2"/>
      <c r="T7" s="2"/>
      <c r="U7" s="2"/>
      <c r="V7" s="2"/>
      <c r="W7" s="2"/>
      <c r="X7" s="2"/>
      <c r="Y7" s="2"/>
      <c r="Z7" s="2"/>
    </row>
    <row r="8" spans="1:26" ht="12.75" customHeight="1" x14ac:dyDescent="0.25">
      <c r="A8" s="2" t="s">
        <v>57</v>
      </c>
      <c r="B8" s="6">
        <f>'Saídas de $'!P19</f>
        <v>685800</v>
      </c>
      <c r="C8" s="6">
        <f>B8*(1+InformacoesBasicas!D36)</f>
        <v>754380.00000000012</v>
      </c>
      <c r="D8" s="6">
        <f>C8*(1+InformacoesBasicas!D37)</f>
        <v>867537.00000000012</v>
      </c>
      <c r="E8" s="6">
        <f>D8*(1+InformacoesBasicas!D38)</f>
        <v>997667.55</v>
      </c>
      <c r="F8" s="6">
        <f>E8*(1+InformacoesBasicas!D39)</f>
        <v>1147317.6824999999</v>
      </c>
      <c r="G8" s="2"/>
      <c r="H8" s="2"/>
      <c r="I8" s="2"/>
      <c r="J8" s="2"/>
      <c r="K8" s="2"/>
      <c r="L8" s="2"/>
      <c r="M8" s="2"/>
      <c r="N8" s="2"/>
      <c r="O8" s="2"/>
      <c r="P8" s="2"/>
      <c r="Q8" s="2"/>
      <c r="R8" s="2"/>
      <c r="S8" s="2"/>
      <c r="T8" s="2"/>
      <c r="U8" s="2"/>
      <c r="V8" s="2"/>
      <c r="W8" s="2"/>
      <c r="X8" s="2"/>
      <c r="Y8" s="2"/>
      <c r="Z8" s="2"/>
    </row>
    <row r="9" spans="1:26" ht="12.75" customHeight="1" x14ac:dyDescent="0.25">
      <c r="A9" s="2" t="s">
        <v>58</v>
      </c>
      <c r="B9" s="6">
        <f t="shared" ref="B9:F9" si="0">B6-B8-B7</f>
        <v>-268830</v>
      </c>
      <c r="C9" s="6">
        <f t="shared" si="0"/>
        <v>-250725.75000000012</v>
      </c>
      <c r="D9" s="6">
        <f t="shared" si="0"/>
        <v>-184863.93750000012</v>
      </c>
      <c r="E9" s="6">
        <f t="shared" si="0"/>
        <v>80216.812499999767</v>
      </c>
      <c r="F9" s="6">
        <f t="shared" si="0"/>
        <v>833795.65500000003</v>
      </c>
      <c r="G9" s="2"/>
      <c r="H9" s="2"/>
      <c r="I9" s="2"/>
      <c r="J9" s="2"/>
      <c r="K9" s="2"/>
      <c r="L9" s="2"/>
      <c r="M9" s="2"/>
      <c r="N9" s="2"/>
      <c r="O9" s="2"/>
      <c r="P9" s="2"/>
      <c r="Q9" s="2"/>
      <c r="R9" s="2"/>
      <c r="S9" s="2"/>
      <c r="T9" s="2"/>
      <c r="U9" s="2"/>
      <c r="V9" s="2"/>
      <c r="W9" s="2"/>
      <c r="X9" s="2"/>
      <c r="Y9" s="2"/>
      <c r="Z9" s="2"/>
    </row>
    <row r="10" spans="1:26" ht="12.75" customHeight="1" x14ac:dyDescent="0.25">
      <c r="A10" s="2" t="s">
        <v>59</v>
      </c>
      <c r="B10" s="6">
        <f t="shared" ref="B10:F10" si="1">IF(B9&gt;0,B9*0.25,0)</f>
        <v>0</v>
      </c>
      <c r="C10" s="6">
        <f t="shared" si="1"/>
        <v>0</v>
      </c>
      <c r="D10" s="6">
        <f t="shared" si="1"/>
        <v>0</v>
      </c>
      <c r="E10" s="6">
        <f t="shared" si="1"/>
        <v>20054.203124999942</v>
      </c>
      <c r="F10" s="6">
        <f t="shared" si="1"/>
        <v>208448.91375000001</v>
      </c>
      <c r="G10" s="2"/>
      <c r="H10" s="2"/>
      <c r="I10" s="2"/>
      <c r="J10" s="2"/>
      <c r="K10" s="2"/>
      <c r="L10" s="2"/>
      <c r="M10" s="2"/>
      <c r="N10" s="2"/>
      <c r="O10" s="2"/>
      <c r="P10" s="2"/>
      <c r="Q10" s="2"/>
      <c r="R10" s="2"/>
      <c r="S10" s="2"/>
      <c r="T10" s="2"/>
      <c r="U10" s="2"/>
      <c r="V10" s="2"/>
      <c r="W10" s="2"/>
      <c r="X10" s="2"/>
      <c r="Y10" s="2"/>
      <c r="Z10" s="2"/>
    </row>
    <row r="11" spans="1:26" ht="12.75" customHeight="1" x14ac:dyDescent="0.25">
      <c r="A11" s="4" t="s">
        <v>60</v>
      </c>
      <c r="B11" s="5">
        <f t="shared" ref="B11:F11" si="2">B9-B10</f>
        <v>-268830</v>
      </c>
      <c r="C11" s="5">
        <f t="shared" si="2"/>
        <v>-250725.75000000012</v>
      </c>
      <c r="D11" s="5">
        <f t="shared" si="2"/>
        <v>-184863.93750000012</v>
      </c>
      <c r="E11" s="5">
        <f t="shared" si="2"/>
        <v>60162.609374999825</v>
      </c>
      <c r="F11" s="5">
        <f t="shared" si="2"/>
        <v>625346.74124999996</v>
      </c>
      <c r="G11" s="2"/>
      <c r="H11" s="2"/>
      <c r="I11" s="2"/>
      <c r="J11" s="2"/>
      <c r="K11" s="2"/>
      <c r="L11" s="2"/>
      <c r="M11" s="2"/>
      <c r="N11" s="2"/>
      <c r="O11" s="2"/>
      <c r="P11" s="2"/>
      <c r="Q11" s="2"/>
      <c r="R11" s="2"/>
      <c r="S11" s="2"/>
      <c r="T11" s="2"/>
      <c r="U11" s="2"/>
      <c r="V11" s="2"/>
      <c r="W11" s="2"/>
      <c r="X11" s="2"/>
      <c r="Y11" s="2"/>
      <c r="Z11" s="2"/>
    </row>
    <row r="12" spans="1:26" ht="12.7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3">
      <c r="A14" s="1" t="s">
        <v>61</v>
      </c>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3">
      <c r="A15" s="1"/>
      <c r="B15" s="3" t="s">
        <v>48</v>
      </c>
      <c r="C15" s="3" t="s">
        <v>49</v>
      </c>
      <c r="D15" s="3" t="s">
        <v>50</v>
      </c>
      <c r="E15" s="3" t="s">
        <v>51</v>
      </c>
      <c r="F15" s="3" t="s">
        <v>52</v>
      </c>
      <c r="G15" s="2"/>
      <c r="H15" s="2"/>
      <c r="I15" s="2"/>
      <c r="J15" s="2"/>
      <c r="K15" s="2"/>
      <c r="L15" s="2"/>
      <c r="M15" s="2"/>
      <c r="N15" s="2"/>
      <c r="O15" s="2"/>
      <c r="P15" s="2"/>
      <c r="Q15" s="2"/>
      <c r="R15" s="2"/>
      <c r="S15" s="2"/>
      <c r="T15" s="2"/>
      <c r="U15" s="2"/>
      <c r="V15" s="2"/>
      <c r="W15" s="2"/>
      <c r="X15" s="2"/>
      <c r="Y15" s="2"/>
      <c r="Z15" s="2"/>
    </row>
    <row r="16" spans="1:26" ht="12.75" customHeight="1" x14ac:dyDescent="0.25">
      <c r="A16" s="4" t="s">
        <v>62</v>
      </c>
      <c r="B16" s="5">
        <f t="shared" ref="B16:F16" si="3">B4</f>
        <v>947100</v>
      </c>
      <c r="C16" s="5">
        <f t="shared" si="3"/>
        <v>1089165</v>
      </c>
      <c r="D16" s="5">
        <f t="shared" si="3"/>
        <v>1361456.25</v>
      </c>
      <c r="E16" s="5">
        <f t="shared" si="3"/>
        <v>1906038.7499999998</v>
      </c>
      <c r="F16" s="5">
        <f t="shared" si="3"/>
        <v>3049662</v>
      </c>
      <c r="G16" s="2"/>
      <c r="H16" s="2"/>
      <c r="I16" s="2"/>
      <c r="J16" s="2"/>
      <c r="K16" s="2"/>
      <c r="L16" s="2"/>
      <c r="M16" s="2"/>
      <c r="N16" s="2"/>
      <c r="O16" s="2"/>
      <c r="P16" s="2"/>
      <c r="Q16" s="2"/>
      <c r="R16" s="2"/>
      <c r="S16" s="2"/>
      <c r="T16" s="2"/>
      <c r="U16" s="2"/>
      <c r="V16" s="2"/>
      <c r="W16" s="2"/>
      <c r="X16" s="2"/>
      <c r="Y16" s="2"/>
      <c r="Z16" s="2"/>
    </row>
    <row r="17" spans="1:26" ht="12.75" customHeight="1" x14ac:dyDescent="0.25">
      <c r="A17" s="2" t="s">
        <v>63</v>
      </c>
      <c r="B17" s="6">
        <f t="shared" ref="B17:F17" si="4">B5+B8+B10+B7</f>
        <v>1215930</v>
      </c>
      <c r="C17" s="6">
        <f t="shared" si="4"/>
        <v>1339890.75</v>
      </c>
      <c r="D17" s="6">
        <f t="shared" si="4"/>
        <v>1546320.1875</v>
      </c>
      <c r="E17" s="6">
        <f t="shared" si="4"/>
        <v>1845876.140625</v>
      </c>
      <c r="F17" s="6">
        <f t="shared" si="4"/>
        <v>2424315.25875</v>
      </c>
      <c r="G17" s="2"/>
      <c r="H17" s="2"/>
      <c r="I17" s="2"/>
      <c r="J17" s="2"/>
      <c r="K17" s="2"/>
      <c r="L17" s="2"/>
      <c r="M17" s="2"/>
      <c r="N17" s="2"/>
      <c r="O17" s="2"/>
      <c r="P17" s="2"/>
      <c r="Q17" s="2"/>
      <c r="R17" s="2"/>
      <c r="S17" s="2"/>
      <c r="T17" s="2"/>
      <c r="U17" s="2"/>
      <c r="V17" s="2"/>
      <c r="W17" s="2"/>
      <c r="X17" s="2"/>
      <c r="Y17" s="2"/>
      <c r="Z17" s="2"/>
    </row>
    <row r="18" spans="1:26" ht="12.75" customHeight="1" x14ac:dyDescent="0.25">
      <c r="A18" s="2" t="s">
        <v>64</v>
      </c>
      <c r="B18" s="6">
        <f>SUM('Saídas de $'!$C$10:C$12)</f>
        <v>7500</v>
      </c>
      <c r="C18" s="6">
        <f>SUM('Saídas de $'!$C$10:C$12)</f>
        <v>7500</v>
      </c>
      <c r="D18" s="6">
        <f>SUM('Saídas de $'!$C$10:C$12)</f>
        <v>7500</v>
      </c>
      <c r="E18" s="6">
        <f>SUM('Saídas de $'!$C$10:C$12)</f>
        <v>7500</v>
      </c>
      <c r="F18" s="6">
        <f>SUM('Saídas de $'!$C$10:C$12)</f>
        <v>7500</v>
      </c>
      <c r="G18" s="2"/>
      <c r="H18" s="2"/>
      <c r="I18" s="2"/>
      <c r="J18" s="2"/>
      <c r="K18" s="2"/>
      <c r="L18" s="2"/>
      <c r="M18" s="2"/>
      <c r="N18" s="2"/>
      <c r="O18" s="2"/>
      <c r="P18" s="2"/>
      <c r="Q18" s="2"/>
      <c r="R18" s="2"/>
      <c r="S18" s="2"/>
      <c r="T18" s="2"/>
      <c r="U18" s="2"/>
      <c r="V18" s="2"/>
      <c r="W18" s="2"/>
      <c r="X18" s="2"/>
      <c r="Y18" s="2"/>
      <c r="Z18" s="2"/>
    </row>
    <row r="19" spans="1:26" ht="12.75" customHeight="1" x14ac:dyDescent="0.25">
      <c r="A19" s="4" t="s">
        <v>65</v>
      </c>
      <c r="B19" s="5">
        <f t="shared" ref="B19:F19" si="5">B16-B17+B18</f>
        <v>-261330</v>
      </c>
      <c r="C19" s="5">
        <f t="shared" si="5"/>
        <v>-243225.75</v>
      </c>
      <c r="D19" s="5">
        <f t="shared" si="5"/>
        <v>-177363.9375</v>
      </c>
      <c r="E19" s="5">
        <f t="shared" si="5"/>
        <v>67662.609374999767</v>
      </c>
      <c r="F19" s="5">
        <f t="shared" si="5"/>
        <v>632846.74124999996</v>
      </c>
      <c r="G19" s="2"/>
      <c r="H19" s="2"/>
      <c r="I19" s="2"/>
      <c r="J19" s="2"/>
      <c r="K19" s="2"/>
      <c r="L19" s="2"/>
      <c r="M19" s="2"/>
      <c r="N19" s="2"/>
      <c r="O19" s="2"/>
      <c r="P19" s="2"/>
      <c r="Q19" s="2"/>
      <c r="R19" s="2"/>
      <c r="S19" s="2"/>
      <c r="T19" s="2"/>
      <c r="U19" s="2"/>
      <c r="V19" s="2"/>
      <c r="W19" s="2"/>
      <c r="X19" s="2"/>
      <c r="Y19" s="2"/>
      <c r="Z19" s="2"/>
    </row>
    <row r="20" spans="1:26" ht="12.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5">
      <c r="A23" s="9" t="s">
        <v>66</v>
      </c>
      <c r="B23" s="4"/>
      <c r="C23" s="10">
        <f>IRR(B56:G56)</f>
        <v>0.12380222891629322</v>
      </c>
      <c r="D23" s="4" t="s">
        <v>67</v>
      </c>
      <c r="E23" s="2"/>
      <c r="F23" s="2"/>
      <c r="G23" s="2"/>
      <c r="H23" s="2"/>
      <c r="I23" s="2"/>
      <c r="J23" s="2"/>
      <c r="K23" s="2"/>
      <c r="L23" s="2"/>
      <c r="M23" s="2"/>
      <c r="N23" s="2"/>
      <c r="O23" s="2"/>
      <c r="P23" s="2"/>
      <c r="Q23" s="2"/>
      <c r="R23" s="2"/>
      <c r="S23" s="2"/>
      <c r="T23" s="2"/>
      <c r="U23" s="2"/>
      <c r="V23" s="2"/>
      <c r="W23" s="2"/>
      <c r="X23" s="2"/>
      <c r="Y23" s="2"/>
      <c r="Z23" s="2"/>
    </row>
    <row r="24" spans="1:26" ht="12.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hidden="1" customHeight="1" x14ac:dyDescent="0.25">
      <c r="A25" s="2"/>
      <c r="B25" s="2"/>
      <c r="C25" s="11"/>
      <c r="D25" s="2"/>
      <c r="E25" s="2"/>
      <c r="F25" s="2"/>
      <c r="G25" s="2"/>
      <c r="H25" s="2"/>
      <c r="I25" s="2"/>
      <c r="J25" s="2"/>
      <c r="K25" s="2"/>
      <c r="L25" s="2"/>
      <c r="M25" s="2"/>
      <c r="N25" s="2"/>
      <c r="O25" s="2"/>
      <c r="P25" s="2"/>
      <c r="Q25" s="2"/>
      <c r="R25" s="2"/>
      <c r="S25" s="2"/>
      <c r="T25" s="2"/>
      <c r="U25" s="2"/>
      <c r="V25" s="2"/>
      <c r="W25" s="2"/>
      <c r="X25" s="2"/>
      <c r="Y25" s="2"/>
      <c r="Z25" s="2"/>
    </row>
    <row r="26" spans="1:26" ht="12.75" hidden="1"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hidden="1"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hidden="1"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hidden="1"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hidden="1"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hidden="1"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hidden="1"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hidden="1"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hidden="1"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hidden="1"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hidden="1"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hidden="1"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hidden="1"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hidden="1"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hidden="1"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hidden="1"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hidden="1"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hidden="1"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hidden="1"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hidden="1"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hidden="1"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hidden="1"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hidden="1"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hidden="1"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hidden="1"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hidden="1"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hidden="1"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hidden="1"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hidden="1"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5">
      <c r="A55" s="2" t="s">
        <v>68</v>
      </c>
      <c r="B55" s="72" t="s">
        <v>69</v>
      </c>
      <c r="C55" s="72" t="s">
        <v>70</v>
      </c>
      <c r="D55" s="72" t="s">
        <v>71</v>
      </c>
      <c r="E55" s="72" t="s">
        <v>72</v>
      </c>
      <c r="F55" s="72" t="s">
        <v>73</v>
      </c>
      <c r="G55" s="72" t="s">
        <v>74</v>
      </c>
      <c r="H55" s="2"/>
      <c r="I55" s="2"/>
      <c r="J55" s="2"/>
      <c r="K55" s="2"/>
      <c r="L55" s="2"/>
      <c r="M55" s="2"/>
      <c r="N55" s="2"/>
      <c r="O55" s="2"/>
      <c r="P55" s="2"/>
      <c r="Q55" s="2"/>
      <c r="R55" s="2"/>
      <c r="S55" s="2"/>
      <c r="T55" s="2"/>
      <c r="U55" s="2"/>
      <c r="V55" s="2"/>
      <c r="W55" s="2"/>
      <c r="X55" s="2"/>
      <c r="Y55" s="2"/>
      <c r="Z55" s="2"/>
    </row>
    <row r="56" spans="1:26" ht="12.75" customHeight="1" x14ac:dyDescent="0.25">
      <c r="A56" s="2" t="s">
        <v>65</v>
      </c>
      <c r="B56" s="71">
        <f>-'Saídas de $'!B8</f>
        <v>-140000</v>
      </c>
      <c r="C56" s="71">
        <f>B11+'Saídas de $'!$P27</f>
        <v>-178830</v>
      </c>
      <c r="D56" s="71">
        <f>C11+'Saídas de $'!$P27</f>
        <v>-160725.75000000012</v>
      </c>
      <c r="E56" s="71">
        <f>D11+'Saídas de $'!$P27</f>
        <v>-94863.937500000116</v>
      </c>
      <c r="F56" s="71">
        <f>E11+'Saídas de $'!$P27</f>
        <v>150162.60937499983</v>
      </c>
      <c r="G56" s="71">
        <f>F11+'Saídas de $'!$P27</f>
        <v>715346.74124999996</v>
      </c>
      <c r="H56" s="2"/>
      <c r="I56" s="2"/>
      <c r="J56" s="2"/>
      <c r="K56" s="2"/>
      <c r="L56" s="2"/>
      <c r="M56" s="2"/>
      <c r="N56" s="2"/>
      <c r="O56" s="2"/>
      <c r="P56" s="2"/>
      <c r="Q56" s="2"/>
      <c r="R56" s="2"/>
      <c r="S56" s="2"/>
      <c r="T56" s="2"/>
      <c r="U56" s="2"/>
      <c r="V56" s="2"/>
      <c r="W56" s="2"/>
      <c r="X56" s="2"/>
      <c r="Y56" s="2"/>
      <c r="Z56" s="2"/>
    </row>
    <row r="57" spans="1:26" ht="12.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8740157499999996" right="0.78740157499999996" top="0.984251969" bottom="0.984251969" header="0" footer="0"/>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InformacoesBasicas</vt:lpstr>
      <vt:lpstr>Entrada de $</vt:lpstr>
      <vt:lpstr>Custo Unitário</vt:lpstr>
      <vt:lpstr>Calculo de Custo</vt:lpstr>
      <vt:lpstr>Saídas de $</vt:lpstr>
      <vt:lpstr>Para exercitar</vt:lpstr>
      <vt:lpstr>Resumo-Planejamento Financeiro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Santos</dc:creator>
  <cp:lastModifiedBy>Marcelo Goldstein</cp:lastModifiedBy>
  <dcterms:created xsi:type="dcterms:W3CDTF">2024-11-24T18:31:56Z</dcterms:created>
  <dcterms:modified xsi:type="dcterms:W3CDTF">2025-11-27T11:16:35Z</dcterms:modified>
</cp:coreProperties>
</file>